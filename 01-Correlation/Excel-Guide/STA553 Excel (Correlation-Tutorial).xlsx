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xue/Library/Mobile Documents/com~apple~CloudDocs/STA553/20264/Lab/"/>
    </mc:Choice>
  </mc:AlternateContent>
  <xr:revisionPtr revIDLastSave="0" documentId="13_ncr:1_{4BFEDC33-1320-7341-8B93-4867A604A65F}" xr6:coauthVersionLast="47" xr6:coauthVersionMax="47" xr10:uidLastSave="{00000000-0000-0000-0000-000000000000}"/>
  <bookViews>
    <workbookView xWindow="0" yWindow="680" windowWidth="28800" windowHeight="16440" firstSheet="2" activeTab="7" xr2:uid="{F6B5CCFB-02CF-8F4B-8528-B8E9FFE05D19}"/>
  </bookViews>
  <sheets>
    <sheet name="Pearson(GPA_Motivation)" sheetId="29" r:id="rId1"/>
    <sheet name="Pearson (Claim_Payment)" sheetId="28" r:id="rId2"/>
    <sheet name="Pearson(Leverage_Int)" sheetId="30" r:id="rId3"/>
    <sheet name="Spearman(Claim_Payment)" sheetId="31" r:id="rId4"/>
    <sheet name="Spearman(Leverage_Int)" sheetId="32" r:id="rId5"/>
    <sheet name="Kendall Tau(Claim_Payment)" sheetId="33" r:id="rId6"/>
    <sheet name="Spearman Rank-Ties (Example)" sheetId="24" r:id="rId7"/>
    <sheet name="Kendall Tau-Ties (Example)" sheetId="25" r:id="rId8"/>
    <sheet name="Sheet6" sheetId="23" state="hidden" r:id="rId9"/>
    <sheet name="Sheet5" sheetId="5" state="hidden" r:id="rId10"/>
  </sheets>
  <definedNames>
    <definedName name="_xlnm.Print_Area" localSheetId="5">'Kendall Tau(Claim_Payment)'!$A$1:$R$67</definedName>
    <definedName name="_xlnm.Print_Area" localSheetId="1">'Pearson (Claim_Payment)'!$A$1:$L$39</definedName>
    <definedName name="_xlnm.Print_Area" localSheetId="0">'Pearson(GPA_Motivation)'!$A$1:$L$40</definedName>
    <definedName name="_xlnm.Print_Area" localSheetId="3">'Spearman(Claim_Payment)'!$A$1:$L$52</definedName>
    <definedName name="_xlnm.Print_Area" localSheetId="4">'Spearman(Leverage_Int)'!$A$1:$L$52</definedName>
    <definedName name="_xlnm.Print_Titles" localSheetId="2">'Pearson(Leverage_Int)'!$1:$5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73" i="33" l="1"/>
  <c r="F73" i="33"/>
  <c r="E73" i="33"/>
  <c r="D73" i="33"/>
  <c r="G72" i="33"/>
  <c r="F72" i="33"/>
  <c r="E72" i="33"/>
  <c r="D72" i="33"/>
  <c r="G71" i="33"/>
  <c r="F71" i="33"/>
  <c r="E71" i="33"/>
  <c r="D71" i="33"/>
  <c r="G70" i="33"/>
  <c r="F70" i="33"/>
  <c r="E70" i="33"/>
  <c r="D70" i="33"/>
  <c r="G69" i="33"/>
  <c r="F69" i="33"/>
  <c r="E69" i="33"/>
  <c r="D69" i="33"/>
  <c r="A29" i="28"/>
  <c r="G56" i="25"/>
  <c r="F56" i="25"/>
  <c r="E56" i="25"/>
  <c r="D56" i="25"/>
  <c r="G55" i="25"/>
  <c r="F55" i="25"/>
  <c r="E55" i="25"/>
  <c r="D55" i="25"/>
  <c r="G54" i="25"/>
  <c r="F54" i="25"/>
  <c r="E54" i="25"/>
  <c r="D54" i="25"/>
  <c r="G53" i="25"/>
  <c r="F53" i="25"/>
  <c r="E53" i="25"/>
  <c r="D53" i="25"/>
  <c r="G52" i="25"/>
  <c r="F52" i="25"/>
  <c r="E52" i="25"/>
  <c r="D52" i="25"/>
  <c r="D3" i="23"/>
  <c r="C3" i="23"/>
  <c r="D2" i="23"/>
  <c r="C2" i="23"/>
  <c r="D75" i="33" l="1"/>
  <c r="F75" i="33"/>
  <c r="E75" i="33"/>
  <c r="G75" i="33"/>
  <c r="G58" i="25"/>
  <c r="F58" i="25"/>
  <c r="D58" i="25"/>
  <c r="E58" i="25"/>
</calcChain>
</file>

<file path=xl/sharedStrings.xml><?xml version="1.0" encoding="utf-8"?>
<sst xmlns="http://schemas.openxmlformats.org/spreadsheetml/2006/main" count="409" uniqueCount="265">
  <si>
    <t>SSxx</t>
  </si>
  <si>
    <t>Leverage Ratio(X)</t>
  </si>
  <si>
    <t>Claim (X)</t>
  </si>
  <si>
    <t>Payment (Y)</t>
  </si>
  <si>
    <t>Rank X</t>
  </si>
  <si>
    <t>Rank Y</t>
  </si>
  <si>
    <r>
      <t>No ties</t>
    </r>
    <r>
      <rPr>
        <sz val="12"/>
        <color theme="1"/>
        <rFont val="Aptos Narrow"/>
        <family val="2"/>
        <scheme val="minor"/>
      </rPr>
      <t xml:space="preserve"> → </t>
    </r>
    <r>
      <rPr>
        <sz val="10"/>
        <color theme="1"/>
        <rFont val="Arial Unicode MS"/>
        <family val="2"/>
      </rPr>
      <t>RANK.EQ()</t>
    </r>
    <r>
      <rPr>
        <sz val="12"/>
        <color theme="1"/>
        <rFont val="Aptos Narrow"/>
        <family val="2"/>
        <scheme val="minor"/>
      </rPr>
      <t xml:space="preserve"> is sufficient.</t>
    </r>
  </si>
  <si>
    <r>
      <t>Ties present</t>
    </r>
    <r>
      <rPr>
        <sz val="12"/>
        <color theme="1"/>
        <rFont val="Aptos Narrow"/>
        <family val="2"/>
        <scheme val="minor"/>
      </rPr>
      <t xml:space="preserve"> → use </t>
    </r>
    <r>
      <rPr>
        <sz val="10"/>
        <color theme="1"/>
        <rFont val="Arial Unicode MS"/>
        <family val="2"/>
      </rPr>
      <t>RANK.AVG()</t>
    </r>
    <r>
      <rPr>
        <sz val="12"/>
        <color theme="1"/>
        <rFont val="Aptos Narrow"/>
        <family val="2"/>
        <scheme val="minor"/>
      </rPr>
      <t xml:space="preserve"> because tied observations receive the </t>
    </r>
    <r>
      <rPr>
        <b/>
        <sz val="12"/>
        <color theme="1"/>
        <rFont val="Aptos Narrow"/>
        <family val="2"/>
        <scheme val="minor"/>
      </rPr>
      <t>average rank</t>
    </r>
    <r>
      <rPr>
        <sz val="12"/>
        <color theme="1"/>
        <rFont val="Aptos Narrow"/>
        <family val="2"/>
        <scheme val="minor"/>
      </rPr>
      <t>.</t>
    </r>
  </si>
  <si>
    <r>
      <t>Spearman sesuai hanya jika kita berminat dengan hubungan monotonic</t>
    </r>
    <r>
      <rPr>
        <sz val="12"/>
        <color theme="1"/>
        <rFont val="Aptos Narrow"/>
        <family val="2"/>
        <scheme val="minor"/>
      </rPr>
      <t>.</t>
    </r>
  </si>
  <si>
    <t>Positive monotonic</t>
  </si>
  <si>
    <r>
      <t xml:space="preserve">Bila </t>
    </r>
    <r>
      <rPr>
        <b/>
        <sz val="12"/>
        <color theme="1"/>
        <rFont val="Aptos Narrow"/>
        <family val="2"/>
        <scheme val="minor"/>
      </rPr>
      <t>X meningkat, Y juga cenderung meningkat</t>
    </r>
    <r>
      <rPr>
        <sz val="12"/>
        <color theme="1"/>
        <rFont val="Aptos Narrow"/>
        <family val="2"/>
        <scheme val="minor"/>
      </rPr>
      <t>.</t>
    </r>
  </si>
  <si>
    <t>Negative monotonic</t>
  </si>
  <si>
    <r>
      <t xml:space="preserve">Bila </t>
    </r>
    <r>
      <rPr>
        <b/>
        <sz val="12"/>
        <color theme="1"/>
        <rFont val="Aptos Narrow"/>
        <family val="2"/>
        <scheme val="minor"/>
      </rPr>
      <t>X meningkat, Y cenderung menurun</t>
    </r>
    <r>
      <rPr>
        <sz val="12"/>
        <color theme="1"/>
        <rFont val="Aptos Narrow"/>
        <family val="2"/>
        <scheme val="minor"/>
      </rPr>
      <t>.</t>
    </r>
  </si>
  <si>
    <r>
      <t>Spearman</t>
    </r>
    <r>
      <rPr>
        <sz val="12"/>
        <color theme="1"/>
        <rFont val="Aptos Narrow"/>
        <family val="2"/>
        <scheme val="minor"/>
      </rPr>
      <t xml:space="preserve"> dan </t>
    </r>
    <r>
      <rPr>
        <b/>
        <sz val="12"/>
        <color theme="1"/>
        <rFont val="Aptos Narrow"/>
        <family val="2"/>
        <scheme val="minor"/>
      </rPr>
      <t>Kendall</t>
    </r>
    <r>
      <rPr>
        <sz val="12"/>
        <color theme="1"/>
        <rFont val="Aptos Narrow"/>
        <family val="2"/>
        <scheme val="minor"/>
      </rPr>
      <t xml:space="preserve"> kedua-duanya menggunakan </t>
    </r>
    <r>
      <rPr>
        <b/>
        <sz val="12"/>
        <color theme="1"/>
        <rFont val="Aptos Narrow"/>
        <family val="2"/>
        <scheme val="minor"/>
      </rPr>
      <t>relative ordering/ranking</t>
    </r>
    <r>
      <rPr>
        <sz val="12"/>
        <color theme="1"/>
        <rFont val="Aptos Narrow"/>
        <family val="2"/>
        <scheme val="minor"/>
      </rPr>
      <t>, bukan nilai sebenar.</t>
    </r>
  </si>
  <si>
    <t>Spearman</t>
  </si>
  <si>
    <t>X, Y</t>
  </si>
  <si>
    <t>Rank X, Rank Y</t>
  </si>
  <si>
    <t>Correlation of ranks</t>
  </si>
  <si>
    <t>Kendall:</t>
  </si>
  <si>
    <t>Compare every pair</t>
  </si>
  <si>
    <t>Concordant / Discordant</t>
  </si>
  <si>
    <t>VS1</t>
  </si>
  <si>
    <t>VS2</t>
  </si>
  <si>
    <t>VS3</t>
  </si>
  <si>
    <t>VS4</t>
  </si>
  <si>
    <t>SUM X</t>
  </si>
  <si>
    <t>SUM (XY)</t>
  </si>
  <si>
    <t>GPA (X)</t>
  </si>
  <si>
    <t>XY</t>
  </si>
  <si>
    <t>n</t>
  </si>
  <si>
    <t>SUM Y</t>
  </si>
  <si>
    <t>MOTIVATION (Y)</t>
  </si>
  <si>
    <t>CLAIM (X)</t>
  </si>
  <si>
    <t>PAYMENT (Y)</t>
  </si>
  <si>
    <t>Interest Rate (Y)</t>
  </si>
  <si>
    <t>VS5</t>
  </si>
  <si>
    <t>VS6</t>
  </si>
  <si>
    <t>VS7</t>
  </si>
  <si>
    <t>VS8</t>
  </si>
  <si>
    <t>VS9</t>
  </si>
  <si>
    <t>Obs.</t>
  </si>
  <si>
    <t>X</t>
  </si>
  <si>
    <t>Y</t>
  </si>
  <si>
    <t>CF</t>
  </si>
  <si>
    <t>Repeated value</t>
  </si>
  <si>
    <t>Variable</t>
  </si>
  <si>
    <t>Frequency, t</t>
  </si>
  <si>
    <t>T</t>
  </si>
  <si>
    <t>Pelajar</t>
  </si>
  <si>
    <t>Markah</t>
  </si>
  <si>
    <t>Ali</t>
  </si>
  <si>
    <t>Abu</t>
  </si>
  <si>
    <t>Siti</t>
  </si>
  <si>
    <r>
      <t>--</t>
    </r>
    <r>
      <rPr>
        <sz val="12"/>
        <color theme="1"/>
        <rFont val="Aptos Narrow"/>
        <family val="2"/>
        <scheme val="minor"/>
      </rPr>
      <t xml:space="preserve"> menukar jawapan TRUE/FALSE kepada nombor 1/0</t>
    </r>
  </si>
  <si>
    <t>SPEARMAN RANK CORRELATION WITH TIES</t>
  </si>
  <si>
    <t>How to rank repeated values and interpret the relationship</t>
  </si>
  <si>
    <t>WHAT DOES 'TIES' MEAN?</t>
  </si>
  <si>
    <t>Ties happen when two or more observations have the same value. Example: X = 50 appears twice. Both observations receive the average of the ranks they would occupy.</t>
  </si>
  <si>
    <t>1. DATA AND RANKS</t>
  </si>
  <si>
    <t>d = Rx − Ry</t>
  </si>
  <si>
    <t>d²</t>
  </si>
  <si>
    <t>TOTAL</t>
  </si>
  <si>
    <t>Meaning</t>
  </si>
  <si>
    <r>
      <rPr>
        <b/>
        <sz val="11"/>
        <color theme="1"/>
        <rFont val="Aptos Narrow"/>
        <family val="2"/>
        <scheme val="minor"/>
      </rPr>
      <t>d</t>
    </r>
    <r>
      <rPr>
        <sz val="12"/>
        <color theme="1"/>
        <rFont val="Aptos Narrow"/>
        <family val="2"/>
        <scheme val="minor"/>
      </rPr>
      <t xml:space="preserve"> is the difference between the two ranks; </t>
    </r>
    <r>
      <rPr>
        <b/>
        <sz val="11"/>
        <color theme="1"/>
        <rFont val="Aptos Narrow"/>
        <family val="2"/>
        <scheme val="minor"/>
      </rPr>
      <t>d²</t>
    </r>
    <r>
      <rPr>
        <sz val="12"/>
        <color theme="1"/>
        <rFont val="Aptos Narrow"/>
        <family val="2"/>
        <scheme val="minor"/>
      </rPr>
      <t xml:space="preserve"> is that difference squared.</t>
    </r>
  </si>
  <si>
    <t>Rank X: value 50 appears twice</t>
  </si>
  <si>
    <t>It would occupy ranks 5 and 6. Average rank = (5 + 6) / 2 = 5.5, so both get rank 5.5.</t>
  </si>
  <si>
    <t>Rank Y: value 200 appears twice</t>
  </si>
  <si>
    <t>It would occupy ranks 2 and 3. Average rank = (2 + 3) / 2 = 2.5, so both get rank 2.5.</t>
  </si>
  <si>
    <t>Rank Y: value 300 appears twice</t>
  </si>
  <si>
    <t>It would occupy ranks 4 and 5. Average rank = (4 + 5) / 2 = 4.5, so both get rank 4.5.</t>
  </si>
  <si>
    <t>Frequency t</t>
  </si>
  <si>
    <t>CF = (t³ − t)/12</t>
  </si>
  <si>
    <t>CFx</t>
  </si>
  <si>
    <r>
      <t>CF</t>
    </r>
    <r>
      <rPr>
        <sz val="9"/>
        <color theme="1"/>
        <rFont val="Calibri (Body)"/>
      </rPr>
      <t>Y</t>
    </r>
  </si>
  <si>
    <t>n (number of observations)</t>
  </si>
  <si>
    <t>Spearman rho (correlation of ranks)-Formula</t>
  </si>
  <si>
    <t>Spearman rho (correlation of ranks)-Excel</t>
  </si>
  <si>
    <t>x &lt;- c(30, 50, 50, 20, 10, 40)
y &lt;- c(200, 400, 300, 200, 100, 300)
cor(x, y, method = "spearman")
# Expected: approximately 0.769 (correlation of average ranks)
cor.test(x, y, method = "spearman", exact = FALSE)</t>
  </si>
  <si>
    <t>KENDALL’S TAU-b WITH TIES</t>
  </si>
  <si>
    <t>Counting concordant, discordant and tied pairs</t>
  </si>
  <si>
    <t>WHAT IS CONCORDANT AND DISCORDANT?</t>
  </si>
  <si>
    <t>Concordant pair (C)</t>
  </si>
  <si>
    <t>X and Y move in the same direction across a pair: both increase or both decrease.</t>
  </si>
  <si>
    <t>Discordant pair (D)</t>
  </si>
  <si>
    <t>X and Y move in opposite directions across a pair: one increases while the other decreases.</t>
  </si>
  <si>
    <t>1. DATA</t>
  </si>
  <si>
    <t>T = t(t−1)/2</t>
  </si>
  <si>
    <t>Sort observations by X from smallest to largest. For each observation, compare its Y value with all observations below it. Higher Y below = concordant; lower Y below = discordant; equal X or equal Y creates a tied pair and is not counted as C or D.</t>
  </si>
  <si>
    <t>C from this row</t>
  </si>
  <si>
    <t>D from this row</t>
  </si>
  <si>
    <t>Tied on X?</t>
  </si>
  <si>
    <t>Tied on Y?</t>
  </si>
  <si>
    <t>Check</t>
  </si>
  <si>
    <t>C (concordant pairs)</t>
  </si>
  <si>
    <t>D (discordant pairs)</t>
  </si>
  <si>
    <t>Tx (ties in X)</t>
  </si>
  <si>
    <t>Ty (ties in Y)</t>
  </si>
  <si>
    <t>Kendall tau-b</t>
  </si>
  <si>
    <t>The coefficient is close to +1, indicating a very strong positive association in this dataset: larger X values tend to occur with larger Y values. This describes association, not causation.</t>
  </si>
  <si>
    <t>x &lt;- c(10, 20, 20, 30, 40, 50)
y &lt;- c(100, 200, 300, 300, 400, 500)
cor(x, y, method = "kendall")
cor.test(x, y, method = "kendall", exact = FALSE)</t>
  </si>
  <si>
    <t>The pair is discordant (D)</t>
  </si>
  <si>
    <t>The pair is concordant (C)</t>
  </si>
  <si>
    <t>The pair is tied, and is not counted as C or D.</t>
  </si>
  <si>
    <r>
      <t>T</t>
    </r>
    <r>
      <rPr>
        <sz val="9"/>
        <color theme="1"/>
        <rFont val="Aptos Narrow (Body)"/>
      </rPr>
      <t>X</t>
    </r>
  </si>
  <si>
    <r>
      <t>T</t>
    </r>
    <r>
      <rPr>
        <sz val="9"/>
        <color theme="1"/>
        <rFont val="Aptos Narrow (Body)"/>
      </rPr>
      <t>Y</t>
    </r>
  </si>
  <si>
    <t>Number of combinations</t>
  </si>
  <si>
    <t>5. INTERPRETATION</t>
  </si>
  <si>
    <t>The number of unique pairs to be compared</t>
  </si>
  <si>
    <t>7. [ALTERNATIVE METHOD] COUNT CONCORDANT (C), DISCORDANT (D), AND TIED PAIRS</t>
  </si>
  <si>
    <t>C + D + pairs tied on X or Y  = total pairs. A pair tied on both X and Y must not be double-counted in this check.</t>
  </si>
  <si>
    <t xml:space="preserve">There is a very strong positive monotonic relationship between X and Y	</t>
  </si>
  <si>
    <t>Excel function: COUNTIF(RANGE,"&gt;0")</t>
  </si>
  <si>
    <t>Excel function: COUNTIF(RANGE,"&lt;0")</t>
  </si>
  <si>
    <t>SSₓᵧ = Σxy − (Σx × Σy) / n</t>
  </si>
  <si>
    <t>SSₓₓ = Σx² − (Σx)² / n</t>
  </si>
  <si>
    <t>SSᵧᵧ = Σy² − (Σy)² / n</t>
  </si>
  <si>
    <t>SSyy</t>
  </si>
  <si>
    <t>CORREL(X range, Y range)</t>
  </si>
  <si>
    <t>SSxy</t>
  </si>
  <si>
    <t>PEARSON CORRELATION — CLAIM &amp; PAYMENT</t>
  </si>
  <si>
    <t>1. DATA AND CALCULATIONS</t>
  </si>
  <si>
    <t>2. SCATTER PLOT</t>
  </si>
  <si>
    <t>X²</t>
  </si>
  <si>
    <t>Y²</t>
  </si>
  <si>
    <t>3. SUMMARY STATISTICS</t>
  </si>
  <si>
    <t>4. PEARSON CORRELATION CALCULATION</t>
  </si>
  <si>
    <t>SUM (X²)</t>
  </si>
  <si>
    <t>SUM (Y²)</t>
  </si>
  <si>
    <t>Pearson's r — formula</t>
  </si>
  <si>
    <t>SSxy / √(SSxx × SSyy)</t>
  </si>
  <si>
    <t>Pearson's r — Excel function</t>
  </si>
  <si>
    <t>claim &lt;- c(2.1, 2.4, 2.5, 3.2, 3.6, 3.8, 4.1, 4.2, 4.5, 5.0)
payment &lt;- c(2.18, 2.06, 2.54, 2.61, 3.67, 3.25, 4.02, 3.71, 4.38, 4.45)
cor(claim, payment, method = "pearson")
cor.test(claim, payment, method = "pearson")</t>
  </si>
  <si>
    <t>Excel function</t>
  </si>
  <si>
    <t>SUM (X)</t>
  </si>
  <si>
    <t>SUM (Y)</t>
  </si>
  <si>
    <t xml:space="preserve">CORREL(X range, Y range)			</t>
  </si>
  <si>
    <t>6. R CODE</t>
  </si>
  <si>
    <t>cor.test(GPA, MOTIVATION, method = "pearson")</t>
  </si>
  <si>
    <t>cor(GPA, MOTIVATION, method = "pearson")</t>
  </si>
  <si>
    <t>MOTIVATION &lt;- c(50, 48, 100, 12, 34, 30, 78, 87, 84, 75, 83, 90, 90, 98)</t>
  </si>
  <si>
    <t>GPA &lt;- c(2, 2, 2, 2, 2.3, 2.6, 2.6, 3, 3.1, 3.2, 3.6, 3.8, 3.8, 4)</t>
  </si>
  <si>
    <t>Pearson correlation coefficient, r = 0.6415. This indicates a moderately strong positive linear relationship between GPA and MOTIVATION: students with higher GPA values tend to have higher motivation scores in this dataset. Correlation alone does not establish causation.</t>
  </si>
  <si>
    <t>r = SSxy / √(SSxx × SSyy)</t>
  </si>
  <si>
    <t>SSxy = Σxy − (Σx × Σy)/n</t>
  </si>
  <si>
    <t>SSyy = Σy² − (Σy)²/n</t>
  </si>
  <si>
    <t>SSxx = Σx² − (Σx)²/n</t>
  </si>
  <si>
    <t>PEARSON CORRELATION COEFFICIENT — GPA &amp; MOTIVATION</t>
  </si>
  <si>
    <t xml:space="preserve">Manual calculation using summary statistics </t>
  </si>
  <si>
    <t>cor.test(leverage, ln_interest_rate, method = "pearson")</t>
  </si>
  <si>
    <t>cor(leverage, ln_interest_rate, method = "pearson")</t>
  </si>
  <si>
    <t>abline(lm(ln_interest_rate ~ leverage), col = "blue", lwd = 2)</t>
  </si>
  <si>
    <t xml:space="preserve">     xlab = "Leverage Ratio", ylab = "ln(Interest Rate)", pch = 19)</t>
  </si>
  <si>
    <t>plot(leverage, ln_interest_rate, main = "After Log Transformation",</t>
  </si>
  <si>
    <t># After transformation</t>
  </si>
  <si>
    <t>ln_interest_rate &lt;- log(interest_rate)</t>
  </si>
  <si>
    <t># Log transformation of the response variable</t>
  </si>
  <si>
    <t>cor.test(leverage, interest_rate, method = "pearson")</t>
  </si>
  <si>
    <t>cor(leverage, interest_rate, method = "pearson")</t>
  </si>
  <si>
    <t>abline(lm(interest_rate ~ leverage), col = "blue", lwd = 2)</t>
  </si>
  <si>
    <t xml:space="preserve">     xlab = "Leverage Ratio", ylab = "Interest Rate", pch = 19)</t>
  </si>
  <si>
    <t>plot(leverage, interest_rate, main = "Before Transformation",</t>
  </si>
  <si>
    <t># Before transformation</t>
  </si>
  <si>
    <t>interest_rate &lt;- c(2.8, 3.4, 3.5, 3.6, 4.6, 6.3, 10.2, 19.7, 31.3, 42.9)</t>
  </si>
  <si>
    <t>leverage &lt;- c(0.1, 0.4, 0.5, 0.8, 1.0, 1.8, 2.0, 2.5, 2.8, 3.0)</t>
  </si>
  <si>
    <t>8. R CODE</t>
  </si>
  <si>
    <t>Before transformation: Pearson r = 0.8711, indicating a very strong positive linear association between leverage ratio and interest rate. The original scatter plot may show curvature because interest rate rises more rapidly at larger leverage ratios.</t>
  </si>
  <si>
    <t>7. INTERPRETATION</t>
  </si>
  <si>
    <t>6. SCATTER PLOT — AFTER LOG TRANSFORMATION</t>
  </si>
  <si>
    <t>5. SCATTER PLOT — BEFORE TRANSFORMATION</t>
  </si>
  <si>
    <t>Pearson r</t>
  </si>
  <si>
    <t>SSxy*</t>
  </si>
  <si>
    <t>SSyy*</t>
  </si>
  <si>
    <t>SUM X·Y*</t>
  </si>
  <si>
    <t>SUM XY</t>
  </si>
  <si>
    <t>SUM (Y*)²</t>
  </si>
  <si>
    <t>SUM Y²</t>
  </si>
  <si>
    <t>SUM X²</t>
  </si>
  <si>
    <t>SUM Y*</t>
  </si>
  <si>
    <t>4. SUMMARY STATISTICS — TRANSFORMED</t>
  </si>
  <si>
    <t>3. SUMMARY STATISTICS — ORIGINAL</t>
  </si>
  <si>
    <t>X × Y*</t>
  </si>
  <si>
    <t>(Y*)²</t>
  </si>
  <si>
    <t>LN Interest Rate (Y*)</t>
  </si>
  <si>
    <t>Leverage Ratio (X)</t>
  </si>
  <si>
    <t>2. TRANSFORMED DATA (LN INTEREST RATE)</t>
  </si>
  <si>
    <t>1. ORIGINAL DATA (BEFORE TRANSFORMATION)</t>
  </si>
  <si>
    <t>Comparison before and after log transformation of the response variable</t>
  </si>
  <si>
    <t>CORRELATION ANALYSIS — LEVERAGE RATIO &amp; INTEREST RATE</t>
  </si>
  <si>
    <t>After transformation: Pearson r = 0.9691, indicating a very strong positive linear association between leverage ratio and ln(interest rate). Compare the two scatter plots to assess whether the log transformation makes the relationship more nearly linear. A</t>
  </si>
  <si>
    <t xml:space="preserve">     xlab = "Claim (X)", ylab = "Payment (Y)", pch = 19)</t>
  </si>
  <si>
    <t>plot(claim, payment, main = "Claim vs Payment",</t>
  </si>
  <si>
    <t># Scatter plot</t>
  </si>
  <si>
    <t>sum(d_squared)</t>
  </si>
  <si>
    <t>data.frame(claim, payment, rank_x, rank_y, d, d_squared)</t>
  </si>
  <si>
    <t>d_squared &lt;- d^2</t>
  </si>
  <si>
    <t>d &lt;- rank_x - rank_y</t>
  </si>
  <si>
    <t>rank_y &lt;- rank(payment)</t>
  </si>
  <si>
    <t>rank_x &lt;- rank(claim)</t>
  </si>
  <si>
    <t># Calculate ranks and rank differences</t>
  </si>
  <si>
    <t>cor.test(claim, payment, method = "spearman", exact = TRUE)</t>
  </si>
  <si>
    <t>cor(claim, payment, method = "spearman")</t>
  </si>
  <si>
    <t># Spearman rank correlation</t>
  </si>
  <si>
    <t>payment &lt;- c(2.18, 2.06, 2.54, 2.61, 3.67, 3.25, 4.02, 3.71, 4.38, 4.45)</t>
  </si>
  <si>
    <t>claim &lt;- c(2.1, 2.4, 2.5, 3.2, 3.6, 3.8, 4.1, 4.2, 4.5, 5.0)</t>
  </si>
  <si>
    <t>Spearman's rank correlation is ρ = 0.9636, indicating a very strong positive monotonic relationship between CLAIM and PAYMENT. Higher claim values tend to be associated with higher payment values. There are no tied values in either variable, so the shortcut formula and Excel's CORREL function applied to the ranks give the same result. Correlation does not establish causation.</t>
  </si>
  <si>
    <t>Spearman ρ</t>
  </si>
  <si>
    <t>Spearman ρ — Excel CORREL</t>
  </si>
  <si>
    <t>Spearman ρ — formula</t>
  </si>
  <si>
    <t>Sum of squared rank differences (Σd²)</t>
  </si>
  <si>
    <t>Number of observations (n)</t>
  </si>
  <si>
    <t>ρ = 1 − [6 Σd²] / [n(n² − 1)]</t>
  </si>
  <si>
    <t>2. SPEARMAN CORRELATION FORMULA</t>
  </si>
  <si>
    <t>1. DATA AND RANK CALCULATIONS</t>
  </si>
  <si>
    <t>Ranking observations and measuring the relationship between Claim and Payment</t>
  </si>
  <si>
    <t>SPEARMAN RANK CORRELATION — CLAIM &amp; PAYMENT</t>
  </si>
  <si>
    <t>RANK.AVG(NUMBER,RANGE,ORDER)</t>
  </si>
  <si>
    <t>CORREL(RANK X, RANK Y)</t>
  </si>
  <si>
    <t>4. SUMMARY STATISTICS</t>
  </si>
  <si>
    <t>5. EXCEL FUNCTIONS</t>
  </si>
  <si>
    <t>3. SCATTER PLOT</t>
  </si>
  <si>
    <t>plot(claim, payment, main = "Claim vs Payment", xlab = "Claim (X)", ylab = "Payment (Y)", pch = 19)</t>
  </si>
  <si>
    <t>C; D; tau_a</t>
  </si>
  <si>
    <t>tau_a &lt;- (C - D) / (n * (n - 1) / 2)</t>
  </si>
  <si>
    <t>}</t>
  </si>
  <si>
    <t xml:space="preserve">  }</t>
  </si>
  <si>
    <t xml:space="preserve">    if (product &lt; 0) D &lt;- D + 1</t>
  </si>
  <si>
    <t xml:space="preserve">    if (product &gt; 0) C &lt;- C + 1</t>
  </si>
  <si>
    <t xml:space="preserve">    product &lt;- (claim[i] - claim[j]) * (payment[i] - payment[j])</t>
  </si>
  <si>
    <t xml:space="preserve">  for (j in (i + 1):n) {</t>
  </si>
  <si>
    <t>for (i in 1:(n - 1)) {</t>
  </si>
  <si>
    <t>n &lt;- length(claim); C &lt;- 0; D &lt;- 0</t>
  </si>
  <si>
    <t># Count concordant and discordant pairs manually</t>
  </si>
  <si>
    <t>cor.test(claim, payment, method = "kendall", exact = TRUE)</t>
  </si>
  <si>
    <t>cor(claim, payment, method = "kendall")</t>
  </si>
  <si>
    <t># Kendall correlation coefficient</t>
  </si>
  <si>
    <t>Kendall’s tau-a = 0.8667. This indicates a strong positive association between CLAIM and PAYMENT. There are 42 concordant pairs and 3 discordant pairs out of 45 total pairs. Higher claim values generally tend to be associated with higher payment values. Correlation describes association and does not establish causation.</t>
  </si>
  <si>
    <t>Kendall tau-a</t>
  </si>
  <si>
    <t>n(n − 1) / 2</t>
  </si>
  <si>
    <t>The pair is tied and is not counted as C or D.</t>
  </si>
  <si>
    <t>If product = 0</t>
  </si>
  <si>
    <t>The pair is discordant (D).</t>
  </si>
  <si>
    <t>If product &lt; 0</t>
  </si>
  <si>
    <t>The pair is concordant (C).</t>
  </si>
  <si>
    <t>If product &gt; 0</t>
  </si>
  <si>
    <t>1. DATA AND PAIRWISE COMPARISON PRODUCTS</t>
  </si>
  <si>
    <t>(Xi − Xj)(Yi − Yj): positive = concordant; negative = discordant; zero = tied pair.</t>
  </si>
  <si>
    <t>Pairwise product</t>
  </si>
  <si>
    <t>Counting concordant and discordant pairs using pairwise difference products</t>
  </si>
  <si>
    <t>KENDALL’S TAU WITHOUT TIES — CLAIM &amp; PAYMENT</t>
  </si>
  <si>
    <t>Count of products greater than 0:    COUNTIF($D$15:$L$20,"&gt;0")</t>
  </si>
  <si>
    <t>Count of products less than 0:    COUNTIF($D$15:$L$20,"&lt;0")</t>
  </si>
  <si>
    <t>3. HOW TO DETERMINE CONCORDANT AND DISCORDANT</t>
  </si>
  <si>
    <t xml:space="preserve"> 4. Formula</t>
  </si>
  <si>
    <t>5. KENDALL’S TAU-a (NO TIES)</t>
  </si>
  <si>
    <t>4. TIE COUNTS</t>
  </si>
  <si>
    <t>5. KENDALL’S TAU-b WITH TIES</t>
  </si>
  <si>
    <t>Number of Unique Pairs to be Compared</t>
  </si>
  <si>
    <t>6. INTERPRETATION</t>
  </si>
  <si>
    <t>7. R CODE TO VERIFY</t>
  </si>
  <si>
    <t>8. [ALTERNATIVE METHOD] COUNT CONCORDANT (C), DISCORDANT (D)</t>
  </si>
  <si>
    <t>3. HOW TO ASSIGN RANKS WHEN VALUES REPEAT</t>
  </si>
  <si>
    <t>Excel function: CORREL(RANK X, RANK Y)
Excel’s built-in function use average ranks for tied observations and calculate the Pearson correlation between the ranks.</t>
  </si>
  <si>
    <t>4. TIE CORRECTION TERMS</t>
  </si>
  <si>
    <t>5. CALCULATING SPEARMAN'S RANK CORRELATION WITH TIES</t>
  </si>
  <si>
    <t xml:space="preserve">7. R CODE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</si>
</sst>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00000000"/>
    <numFmt numFmtId="167" formatCode="0.000000"/>
  </numFmts>
  <fonts count="35" x14ac:knownFonts="1">
    <font>
      <sz val="12"/>
      <color theme="1"/>
      <name val="Aptos Narrow"/>
      <family val="2"/>
      <scheme val="minor"/>
    </font>
    <font>
      <b/>
      <sz val="12"/>
      <color theme="1"/>
      <name val="Aptos Narrow"/>
      <family val="2"/>
      <scheme val="minor"/>
    </font>
    <font>
      <sz val="10"/>
      <color theme="1"/>
      <name val="Arial Unicode MS"/>
      <family val="2"/>
    </font>
    <font>
      <b/>
      <sz val="18"/>
      <color rgb="FFFFFFFF"/>
      <name val="Aptos Display"/>
    </font>
    <font>
      <i/>
      <sz val="11"/>
      <color rgb="FF17365D"/>
      <name val="Calibri"/>
      <family val="2"/>
    </font>
    <font>
      <b/>
      <sz val="12"/>
      <color rgb="FFFFFFFF"/>
      <name val="Calibri"/>
      <family val="2"/>
    </font>
    <font>
      <b/>
      <sz val="11"/>
      <color rgb="FF222222"/>
      <name val="Calibri"/>
      <family val="2"/>
    </font>
    <font>
      <b/>
      <sz val="11"/>
      <name val="Calibri"/>
      <family val="2"/>
    </font>
    <font>
      <b/>
      <sz val="11"/>
      <color theme="1"/>
      <name val="Aptos Narrow"/>
      <family val="2"/>
      <scheme val="minor"/>
    </font>
    <font>
      <b/>
      <sz val="11"/>
      <color rgb="FF17365D"/>
      <name val="Calibri"/>
      <family val="2"/>
    </font>
    <font>
      <sz val="9"/>
      <color theme="1"/>
      <name val="Calibri (Body)"/>
    </font>
    <font>
      <sz val="11"/>
      <color rgb="FF222222"/>
      <name val="Consolas"/>
      <family val="2"/>
    </font>
    <font>
      <b/>
      <sz val="18"/>
      <color rgb="FF17365D"/>
      <name val="Cambria Math"/>
      <family val="1"/>
    </font>
    <font>
      <sz val="11"/>
      <name val="Consolas"/>
      <family val="2"/>
    </font>
    <font>
      <sz val="11"/>
      <color theme="1"/>
      <name val="Aptos Narrow"/>
      <family val="2"/>
      <scheme val="minor"/>
    </font>
    <font>
      <sz val="9"/>
      <color theme="1"/>
      <name val="Aptos Narrow (Body)"/>
    </font>
    <font>
      <sz val="12"/>
      <color rgb="FF17365D"/>
      <name val="Calibri"/>
      <family val="2"/>
    </font>
    <font>
      <b/>
      <sz val="11"/>
      <color rgb="FFFFFFFF"/>
      <name val="Calibri"/>
      <family val="2"/>
    </font>
    <font>
      <i/>
      <sz val="11"/>
      <color rgb="FF666666"/>
      <name val="Calibri"/>
      <family val="2"/>
    </font>
    <font>
      <b/>
      <sz val="12"/>
      <color rgb="FF274E13"/>
      <name val="Calibri"/>
      <family val="2"/>
    </font>
    <font>
      <sz val="10"/>
      <color rgb="FF202020"/>
      <name val="Consolas"/>
      <family val="2"/>
    </font>
    <font>
      <b/>
      <sz val="11"/>
      <color rgb="FF1F4E78"/>
      <name val="Calibri"/>
      <family val="2"/>
    </font>
    <font>
      <sz val="9"/>
      <color rgb="FF222222"/>
      <name val="Consolas"/>
      <family val="2"/>
    </font>
    <font>
      <sz val="10"/>
      <name val="Arial"/>
      <family val="2"/>
    </font>
    <font>
      <b/>
      <sz val="11"/>
      <color rgb="FFFFFFFF"/>
      <name val="Arial"/>
      <family val="2"/>
    </font>
    <font>
      <i/>
      <sz val="11"/>
      <color rgb="FF1F4E78"/>
      <name val="Arial"/>
      <family val="2"/>
    </font>
    <font>
      <b/>
      <sz val="16"/>
      <color rgb="FFFFFFFF"/>
      <name val="Arial"/>
      <family val="2"/>
    </font>
    <font>
      <sz val="10"/>
      <color rgb="FF222222"/>
      <name val="Consolas"/>
      <family val="2"/>
    </font>
    <font>
      <b/>
      <sz val="11"/>
      <color rgb="FF375623"/>
      <name val="Calibri"/>
      <family val="2"/>
    </font>
    <font>
      <b/>
      <sz val="11"/>
      <color rgb="FF548235"/>
      <name val="Calibri"/>
      <family val="2"/>
    </font>
    <font>
      <i/>
      <sz val="11"/>
      <color rgb="FF17365D"/>
      <name val="Arial"/>
      <family val="2"/>
    </font>
    <font>
      <sz val="10"/>
      <name val="Consolas"/>
      <family val="2"/>
    </font>
    <font>
      <sz val="11"/>
      <color theme="1"/>
      <name val="Consolas"/>
      <family val="2"/>
    </font>
    <font>
      <b/>
      <sz val="15"/>
      <color rgb="FFFFFFFF"/>
      <name val="Calibri"/>
      <family val="2"/>
    </font>
    <font>
      <sz val="15"/>
      <color theme="1"/>
      <name val="Cambria Math"/>
      <family val="1"/>
    </font>
  </fonts>
  <fills count="21">
    <fill>
      <patternFill patternType="none"/>
    </fill>
    <fill>
      <patternFill patternType="gray125"/>
    </fill>
    <fill>
      <patternFill patternType="solid">
        <fgColor rgb="FFF2F2F2"/>
      </patternFill>
    </fill>
    <fill>
      <patternFill patternType="solid">
        <fgColor rgb="FF17365D"/>
      </patternFill>
    </fill>
    <fill>
      <patternFill patternType="solid">
        <fgColor rgb="FFD9EAF7"/>
      </patternFill>
    </fill>
    <fill>
      <patternFill patternType="solid">
        <fgColor rgb="FFEEF5FB"/>
      </patternFill>
    </fill>
    <fill>
      <patternFill patternType="solid">
        <fgColor rgb="FFFAFCFE"/>
      </patternFill>
    </fill>
    <fill>
      <patternFill patternType="solid">
        <fgColor rgb="FFE2F0D9"/>
      </patternFill>
    </fill>
    <fill>
      <patternFill patternType="solid">
        <fgColor rgb="FFE7F2FE"/>
        <bgColor indexed="64"/>
      </patternFill>
    </fill>
    <fill>
      <patternFill patternType="solid">
        <fgColor rgb="FFF3EFF8"/>
      </patternFill>
    </fill>
    <fill>
      <patternFill patternType="solid">
        <fgColor rgb="FFFBF9FD"/>
      </patternFill>
    </fill>
    <fill>
      <patternFill patternType="solid">
        <fgColor theme="0"/>
        <bgColor indexed="64"/>
      </patternFill>
    </fill>
    <fill>
      <patternFill patternType="solid">
        <fgColor rgb="FFFFF2CC"/>
      </patternFill>
    </fill>
    <fill>
      <patternFill patternType="solid">
        <fgColor rgb="FFFFF2CC"/>
        <bgColor indexed="64"/>
      </patternFill>
    </fill>
    <fill>
      <patternFill patternType="solid">
        <fgColor rgb="FFEEF5FB"/>
        <bgColor indexed="64"/>
      </patternFill>
    </fill>
    <fill>
      <patternFill patternType="solid">
        <fgColor rgb="FFDDEBF7"/>
      </patternFill>
    </fill>
    <fill>
      <patternFill patternType="solid">
        <fgColor rgb="FFEAF3F8"/>
      </patternFill>
    </fill>
    <fill>
      <patternFill patternType="solid">
        <fgColor rgb="FFFFFFFF"/>
      </patternFill>
    </fill>
    <fill>
      <patternFill patternType="solid">
        <fgColor rgb="FFBFE6F2"/>
      </patternFill>
    </fill>
    <fill>
      <patternFill patternType="solid">
        <fgColor rgb="FFB7DEE8"/>
      </patternFill>
    </fill>
    <fill>
      <patternFill patternType="solid">
        <fgColor rgb="FF17365D"/>
        <bgColor indexed="64"/>
      </patternFill>
    </fill>
  </fills>
  <borders count="19">
    <border>
      <left/>
      <right/>
      <top/>
      <bottom/>
      <diagonal/>
    </border>
    <border>
      <left/>
      <right/>
      <top/>
      <bottom style="medium">
        <color rgb="FF17365D"/>
      </bottom>
      <diagonal/>
    </border>
    <border>
      <left/>
      <right/>
      <top/>
      <bottom style="thin">
        <color rgb="FFB7C9D6"/>
      </bottom>
      <diagonal/>
    </border>
    <border>
      <left/>
      <right/>
      <top style="medium">
        <color rgb="FF17365D"/>
      </top>
      <bottom/>
      <diagonal/>
    </border>
    <border>
      <left style="thin">
        <color theme="3" tint="0.749992370372631"/>
      </left>
      <right style="thin">
        <color theme="3" tint="0.749992370372631"/>
      </right>
      <top style="thin">
        <color theme="3" tint="0.749992370372631"/>
      </top>
      <bottom style="thin">
        <color theme="3" tint="0.749992370372631"/>
      </bottom>
      <diagonal/>
    </border>
    <border>
      <left/>
      <right/>
      <top/>
      <bottom style="thin">
        <color rgb="FF8AAFC4"/>
      </bottom>
      <diagonal/>
    </border>
    <border>
      <left/>
      <right/>
      <top style="medium">
        <color rgb="FF17365D"/>
      </top>
      <bottom style="medium">
        <color rgb="FF17365D"/>
      </bottom>
      <diagonal/>
    </border>
    <border>
      <left/>
      <right/>
      <top style="thin">
        <color rgb="FF8AAFC4"/>
      </top>
      <bottom style="thin">
        <color rgb="FF8AAFC4"/>
      </bottom>
      <diagonal/>
    </border>
    <border>
      <left/>
      <right/>
      <top/>
      <bottom style="thin">
        <color rgb="FF8FBAD0"/>
      </bottom>
      <diagonal/>
    </border>
    <border>
      <left/>
      <right/>
      <top/>
      <bottom style="thin">
        <color rgb="FF8EAADB"/>
      </bottom>
      <diagonal/>
    </border>
    <border>
      <left style="thin">
        <color theme="3" tint="0.89999084444715716"/>
      </left>
      <right style="thin">
        <color theme="3" tint="0.89999084444715716"/>
      </right>
      <top style="thin">
        <color theme="3" tint="0.89999084444715716"/>
      </top>
      <bottom style="thin">
        <color theme="3" tint="0.89999084444715716"/>
      </bottom>
      <diagonal/>
    </border>
    <border>
      <left style="thin">
        <color theme="3" tint="0.89999084444715716"/>
      </left>
      <right/>
      <top style="thin">
        <color theme="3" tint="0.89999084444715716"/>
      </top>
      <bottom style="thin">
        <color theme="3" tint="0.89999084444715716"/>
      </bottom>
      <diagonal/>
    </border>
    <border>
      <left/>
      <right style="thin">
        <color theme="3" tint="0.89999084444715716"/>
      </right>
      <top style="thin">
        <color theme="3" tint="0.89999084444715716"/>
      </top>
      <bottom style="thin">
        <color theme="3" tint="0.89999084444715716"/>
      </bottom>
      <diagonal/>
    </border>
    <border>
      <left/>
      <right/>
      <top/>
      <bottom style="thin">
        <color theme="3" tint="0.89999084444715716"/>
      </bottom>
      <diagonal/>
    </border>
    <border>
      <left/>
      <right/>
      <top style="thin">
        <color theme="3" tint="0.89999084444715716"/>
      </top>
      <bottom style="thin">
        <color theme="3" tint="0.89999084444715716"/>
      </bottom>
      <diagonal/>
    </border>
    <border>
      <left/>
      <right style="thin">
        <color theme="3" tint="0.89999084444715716"/>
      </right>
      <top/>
      <bottom/>
      <diagonal/>
    </border>
    <border>
      <left/>
      <right/>
      <top/>
      <bottom style="thin">
        <color theme="3" tint="0.749992370372631"/>
      </bottom>
      <diagonal/>
    </border>
    <border>
      <left/>
      <right/>
      <top style="thin">
        <color theme="3" tint="0.749992370372631"/>
      </top>
      <bottom style="thin">
        <color theme="3" tint="0.749992370372631"/>
      </bottom>
      <diagonal/>
    </border>
    <border>
      <left/>
      <right/>
      <top style="thin">
        <color theme="3" tint="0.749992370372631"/>
      </top>
      <bottom/>
      <diagonal/>
    </border>
  </borders>
  <cellStyleXfs count="2">
    <xf numFmtId="0" fontId="0" fillId="0" borderId="0"/>
    <xf numFmtId="0" fontId="14" fillId="0" borderId="0"/>
  </cellStyleXfs>
  <cellXfs count="218">
    <xf numFmtId="0" fontId="0" fillId="0" borderId="0" xfId="0"/>
    <xf numFmtId="0" fontId="1" fillId="0" borderId="0" xfId="0" applyFont="1"/>
    <xf numFmtId="0" fontId="2" fillId="0" borderId="0" xfId="0" applyFont="1"/>
    <xf numFmtId="0" fontId="0" fillId="0" borderId="0" xfId="0" applyAlignment="1">
      <alignment horizontal="center"/>
    </xf>
    <xf numFmtId="0" fontId="6" fillId="4" borderId="1" xfId="0" applyFont="1" applyFill="1" applyBorder="1" applyAlignment="1">
      <alignment horizontal="center" vertical="center" wrapText="1"/>
    </xf>
    <xf numFmtId="0" fontId="0" fillId="0" borderId="2" xfId="0" applyBorder="1" applyAlignment="1">
      <alignment horizontal="center" vertical="center"/>
    </xf>
    <xf numFmtId="0" fontId="7" fillId="7" borderId="3" xfId="0" applyFont="1" applyFill="1" applyBorder="1" applyAlignment="1">
      <alignment vertical="center" wrapText="1"/>
    </xf>
    <xf numFmtId="0" fontId="7" fillId="7" borderId="3" xfId="0" applyFont="1" applyFill="1" applyBorder="1"/>
    <xf numFmtId="0" fontId="7" fillId="7" borderId="3" xfId="0" applyFont="1" applyFill="1" applyBorder="1" applyAlignment="1">
      <alignment horizontal="center" vertical="center" wrapText="1"/>
    </xf>
    <xf numFmtId="0" fontId="7" fillId="8" borderId="0" xfId="0" applyFont="1" applyFill="1" applyAlignment="1">
      <alignment vertical="center" wrapText="1"/>
    </xf>
    <xf numFmtId="0" fontId="0" fillId="11" borderId="0" xfId="0" applyFill="1" applyAlignment="1">
      <alignment vertical="center"/>
    </xf>
    <xf numFmtId="0" fontId="7" fillId="4" borderId="0" xfId="0" applyFont="1" applyFill="1" applyAlignment="1">
      <alignment horizontal="center" wrapText="1"/>
    </xf>
    <xf numFmtId="0" fontId="0" fillId="12" borderId="0" xfId="0" applyFill="1" applyAlignment="1">
      <alignment vertical="center" wrapText="1"/>
    </xf>
    <xf numFmtId="0" fontId="0" fillId="11" borderId="0" xfId="0" applyFill="1" applyAlignment="1">
      <alignment horizontal="center" vertical="center"/>
    </xf>
    <xf numFmtId="0" fontId="0" fillId="11" borderId="0" xfId="0" applyFill="1"/>
    <xf numFmtId="0" fontId="0" fillId="11" borderId="2" xfId="0" applyFill="1" applyBorder="1" applyAlignment="1">
      <alignment horizontal="center" vertical="center"/>
    </xf>
    <xf numFmtId="0" fontId="9" fillId="11" borderId="0" xfId="0" applyFont="1" applyFill="1" applyAlignment="1">
      <alignment horizontal="left" vertical="center" wrapText="1"/>
    </xf>
    <xf numFmtId="0" fontId="0" fillId="11" borderId="0" xfId="0" applyFill="1" applyAlignment="1">
      <alignment horizontal="center"/>
    </xf>
    <xf numFmtId="164" fontId="0" fillId="11" borderId="0" xfId="0" applyNumberFormat="1" applyFill="1" applyAlignment="1">
      <alignment horizontal="center"/>
    </xf>
    <xf numFmtId="165" fontId="0" fillId="11" borderId="0" xfId="0" applyNumberFormat="1" applyFill="1" applyAlignment="1">
      <alignment horizontal="center" vertical="center" wrapText="1"/>
    </xf>
    <xf numFmtId="0" fontId="7" fillId="4" borderId="0" xfId="0" applyFont="1" applyFill="1" applyAlignment="1">
      <alignment horizontal="center" vertical="center"/>
    </xf>
    <xf numFmtId="0" fontId="0" fillId="13" borderId="0" xfId="0" applyFill="1" applyAlignment="1">
      <alignment vertical="center" wrapText="1"/>
    </xf>
    <xf numFmtId="0" fontId="0" fillId="6" borderId="4" xfId="0" applyFill="1" applyBorder="1" applyAlignment="1">
      <alignment horizontal="center" vertical="center"/>
    </xf>
    <xf numFmtId="0" fontId="0" fillId="0" borderId="4" xfId="0" applyBorder="1" applyAlignment="1">
      <alignment horizontal="center" vertical="center"/>
    </xf>
    <xf numFmtId="0" fontId="0" fillId="11" borderId="0" xfId="0" applyFill="1" applyAlignment="1">
      <alignment horizontal="center" vertical="center" wrapText="1"/>
    </xf>
    <xf numFmtId="0" fontId="7" fillId="11" borderId="0" xfId="0" applyFont="1" applyFill="1" applyAlignment="1">
      <alignment vertical="center" wrapText="1"/>
    </xf>
    <xf numFmtId="0" fontId="0" fillId="11" borderId="0" xfId="0" applyFill="1" applyAlignment="1">
      <alignment vertical="center" wrapText="1"/>
    </xf>
    <xf numFmtId="0" fontId="5" fillId="3" borderId="0" xfId="0" applyFont="1" applyFill="1" applyAlignment="1">
      <alignment vertical="center"/>
    </xf>
    <xf numFmtId="0" fontId="9" fillId="9" borderId="0" xfId="0" applyFont="1" applyFill="1" applyAlignment="1">
      <alignment horizontal="left" vertical="center" wrapText="1"/>
    </xf>
    <xf numFmtId="0" fontId="0" fillId="11" borderId="0" xfId="0" applyFill="1" applyAlignment="1">
      <alignment horizontal="left" vertical="center"/>
    </xf>
    <xf numFmtId="0" fontId="3" fillId="3" borderId="0" xfId="0" applyFont="1" applyFill="1" applyAlignment="1">
      <alignment vertical="center"/>
    </xf>
    <xf numFmtId="0" fontId="14" fillId="0" borderId="0" xfId="1"/>
    <xf numFmtId="0" fontId="5" fillId="3" borderId="0" xfId="1" applyFont="1" applyFill="1" applyAlignment="1">
      <alignment vertical="center"/>
    </xf>
    <xf numFmtId="0" fontId="14" fillId="3" borderId="0" xfId="1" applyFill="1"/>
    <xf numFmtId="0" fontId="9" fillId="4" borderId="1" xfId="1" applyFont="1" applyFill="1" applyBorder="1" applyAlignment="1">
      <alignment horizontal="center"/>
    </xf>
    <xf numFmtId="2" fontId="14" fillId="0" borderId="5" xfId="1" applyNumberFormat="1" applyBorder="1" applyAlignment="1">
      <alignment horizontal="center"/>
    </xf>
    <xf numFmtId="165" fontId="14" fillId="0" borderId="5" xfId="1" applyNumberFormat="1" applyBorder="1" applyAlignment="1">
      <alignment horizontal="center"/>
    </xf>
    <xf numFmtId="2" fontId="14" fillId="5" borderId="5" xfId="1" applyNumberFormat="1" applyFill="1" applyBorder="1" applyAlignment="1">
      <alignment horizontal="center"/>
    </xf>
    <xf numFmtId="165" fontId="14" fillId="5" borderId="5" xfId="1" applyNumberFormat="1" applyFill="1" applyBorder="1" applyAlignment="1">
      <alignment horizontal="center"/>
    </xf>
    <xf numFmtId="2" fontId="14" fillId="17" borderId="5" xfId="1" applyNumberFormat="1" applyFill="1" applyBorder="1" applyAlignment="1">
      <alignment horizontal="center"/>
    </xf>
    <xf numFmtId="165" fontId="14" fillId="17" borderId="5" xfId="1" applyNumberFormat="1" applyFill="1" applyBorder="1" applyAlignment="1">
      <alignment horizontal="center"/>
    </xf>
    <xf numFmtId="2" fontId="14" fillId="18" borderId="5" xfId="1" applyNumberFormat="1" applyFill="1" applyBorder="1" applyAlignment="1">
      <alignment horizontal="center"/>
    </xf>
    <xf numFmtId="165" fontId="14" fillId="18" borderId="5" xfId="1" applyNumberFormat="1" applyFill="1" applyBorder="1" applyAlignment="1">
      <alignment horizontal="center"/>
    </xf>
    <xf numFmtId="2" fontId="9" fillId="7" borderId="6" xfId="1" applyNumberFormat="1" applyFont="1" applyFill="1" applyBorder="1" applyAlignment="1">
      <alignment horizontal="center"/>
    </xf>
    <xf numFmtId="165" fontId="9" fillId="7" borderId="6" xfId="1" applyNumberFormat="1" applyFont="1" applyFill="1" applyBorder="1" applyAlignment="1">
      <alignment horizontal="center"/>
    </xf>
    <xf numFmtId="0" fontId="9" fillId="5" borderId="5" xfId="1" applyFont="1" applyFill="1" applyBorder="1" applyAlignment="1">
      <alignment vertical="center"/>
    </xf>
    <xf numFmtId="2" fontId="14" fillId="11" borderId="5" xfId="1" applyNumberFormat="1" applyFill="1" applyBorder="1" applyAlignment="1">
      <alignment horizontal="center" vertical="center"/>
    </xf>
    <xf numFmtId="165" fontId="14" fillId="11" borderId="5" xfId="1" applyNumberFormat="1" applyFill="1" applyBorder="1" applyAlignment="1">
      <alignment horizontal="center" vertical="center"/>
    </xf>
    <xf numFmtId="2" fontId="14" fillId="0" borderId="5" xfId="1" applyNumberFormat="1" applyBorder="1" applyAlignment="1">
      <alignment horizontal="center" vertical="center"/>
    </xf>
    <xf numFmtId="165" fontId="14" fillId="0" borderId="5" xfId="1" applyNumberFormat="1" applyBorder="1" applyAlignment="1">
      <alignment horizontal="center" vertical="center"/>
    </xf>
    <xf numFmtId="0" fontId="14" fillId="0" borderId="5" xfId="1" applyBorder="1" applyAlignment="1">
      <alignment horizontal="center" vertical="center"/>
    </xf>
    <xf numFmtId="0" fontId="23" fillId="17" borderId="8" xfId="1" applyFont="1" applyFill="1" applyBorder="1" applyAlignment="1">
      <alignment vertical="center"/>
    </xf>
    <xf numFmtId="0" fontId="23" fillId="16" borderId="8" xfId="1" applyFont="1" applyFill="1" applyBorder="1" applyAlignment="1">
      <alignment vertical="center"/>
    </xf>
    <xf numFmtId="0" fontId="23" fillId="7" borderId="8" xfId="1" applyFont="1" applyFill="1" applyBorder="1" applyAlignment="1">
      <alignment vertical="center"/>
    </xf>
    <xf numFmtId="2" fontId="14" fillId="16" borderId="8" xfId="1" applyNumberFormat="1" applyFill="1" applyBorder="1" applyAlignment="1">
      <alignment horizontal="center"/>
    </xf>
    <xf numFmtId="2" fontId="23" fillId="7" borderId="6" xfId="1" applyNumberFormat="1" applyFont="1" applyFill="1" applyBorder="1" applyAlignment="1">
      <alignment horizontal="center"/>
    </xf>
    <xf numFmtId="2" fontId="14" fillId="19" borderId="8" xfId="1" applyNumberFormat="1" applyFill="1" applyBorder="1" applyAlignment="1">
      <alignment horizontal="center"/>
    </xf>
    <xf numFmtId="0" fontId="23" fillId="14" borderId="0" xfId="1" applyFont="1" applyFill="1" applyAlignment="1">
      <alignment horizontal="center"/>
    </xf>
    <xf numFmtId="2" fontId="14" fillId="11" borderId="8" xfId="1" applyNumberFormat="1" applyFill="1" applyBorder="1" applyAlignment="1">
      <alignment horizontal="center"/>
    </xf>
    <xf numFmtId="166" fontId="14" fillId="11" borderId="8" xfId="1" applyNumberFormat="1" applyFill="1" applyBorder="1" applyAlignment="1">
      <alignment horizontal="center"/>
    </xf>
    <xf numFmtId="0" fontId="23" fillId="16" borderId="8" xfId="1" applyFont="1" applyFill="1" applyBorder="1" applyAlignment="1">
      <alignment horizontal="center" vertical="center"/>
    </xf>
    <xf numFmtId="0" fontId="23" fillId="17" borderId="8" xfId="1" applyFont="1" applyFill="1" applyBorder="1" applyAlignment="1">
      <alignment horizontal="center" vertical="center"/>
    </xf>
    <xf numFmtId="0" fontId="14" fillId="11" borderId="0" xfId="1" applyFill="1"/>
    <xf numFmtId="0" fontId="21" fillId="0" borderId="0" xfId="1" applyFont="1"/>
    <xf numFmtId="0" fontId="29" fillId="7" borderId="9" xfId="1" applyFont="1" applyFill="1" applyBorder="1"/>
    <xf numFmtId="0" fontId="14" fillId="0" borderId="9" xfId="1" applyBorder="1"/>
    <xf numFmtId="0" fontId="9" fillId="15" borderId="9" xfId="1" applyFont="1" applyFill="1" applyBorder="1"/>
    <xf numFmtId="165" fontId="14" fillId="16" borderId="9" xfId="1" applyNumberFormat="1" applyFill="1" applyBorder="1" applyAlignment="1">
      <alignment horizontal="center"/>
    </xf>
    <xf numFmtId="0" fontId="9" fillId="15" borderId="1" xfId="1" applyFont="1" applyFill="1" applyBorder="1" applyAlignment="1">
      <alignment horizontal="center" vertical="center" wrapText="1"/>
    </xf>
    <xf numFmtId="2" fontId="14" fillId="16" borderId="9" xfId="1" applyNumberFormat="1" applyFill="1" applyBorder="1" applyAlignment="1">
      <alignment horizontal="center"/>
    </xf>
    <xf numFmtId="2" fontId="14" fillId="17" borderId="9" xfId="1" applyNumberFormat="1" applyFill="1" applyBorder="1" applyAlignment="1">
      <alignment horizontal="center"/>
    </xf>
    <xf numFmtId="2" fontId="14" fillId="19" borderId="9" xfId="1" applyNumberFormat="1" applyFill="1" applyBorder="1" applyAlignment="1">
      <alignment horizontal="center"/>
    </xf>
    <xf numFmtId="1" fontId="14" fillId="0" borderId="9" xfId="1" applyNumberFormat="1" applyBorder="1"/>
    <xf numFmtId="166" fontId="14" fillId="11" borderId="5" xfId="1" applyNumberFormat="1" applyFill="1" applyBorder="1" applyAlignment="1">
      <alignment horizontal="center" vertical="center"/>
    </xf>
    <xf numFmtId="166" fontId="14" fillId="0" borderId="5" xfId="1" applyNumberFormat="1" applyBorder="1" applyAlignment="1">
      <alignment horizontal="center" vertical="center"/>
    </xf>
    <xf numFmtId="0" fontId="9" fillId="7" borderId="6" xfId="1" applyFont="1" applyFill="1" applyBorder="1"/>
    <xf numFmtId="2" fontId="14" fillId="16" borderId="9" xfId="1" applyNumberFormat="1" applyFill="1" applyBorder="1" applyAlignment="1">
      <alignment horizontal="center" vertical="center"/>
    </xf>
    <xf numFmtId="1" fontId="14" fillId="19" borderId="9" xfId="1" applyNumberFormat="1" applyFill="1" applyBorder="1" applyAlignment="1">
      <alignment horizontal="center"/>
    </xf>
    <xf numFmtId="1" fontId="14" fillId="16" borderId="9" xfId="1" applyNumberFormat="1" applyFill="1" applyBorder="1" applyAlignment="1">
      <alignment horizontal="center"/>
    </xf>
    <xf numFmtId="0" fontId="9" fillId="11" borderId="0" xfId="1" applyFont="1" applyFill="1"/>
    <xf numFmtId="0" fontId="31" fillId="11" borderId="0" xfId="1" applyFont="1" applyFill="1"/>
    <xf numFmtId="1" fontId="9" fillId="7" borderId="6" xfId="1" applyNumberFormat="1" applyFont="1" applyFill="1" applyBorder="1" applyAlignment="1">
      <alignment horizontal="center"/>
    </xf>
    <xf numFmtId="165" fontId="32" fillId="0" borderId="9" xfId="1" applyNumberFormat="1" applyFont="1" applyBorder="1"/>
    <xf numFmtId="165" fontId="13" fillId="0" borderId="9" xfId="1" applyNumberFormat="1" applyFont="1" applyBorder="1"/>
    <xf numFmtId="0" fontId="14" fillId="20" borderId="0" xfId="1" applyFill="1"/>
    <xf numFmtId="0" fontId="17" fillId="3" borderId="0" xfId="1" applyFont="1" applyFill="1" applyAlignment="1">
      <alignment vertical="center"/>
    </xf>
    <xf numFmtId="0" fontId="14" fillId="16" borderId="9" xfId="1" applyFill="1" applyBorder="1"/>
    <xf numFmtId="0" fontId="9" fillId="16" borderId="9" xfId="1" applyFont="1" applyFill="1" applyBorder="1"/>
    <xf numFmtId="0" fontId="14" fillId="17" borderId="9" xfId="1" applyFill="1" applyBorder="1" applyAlignment="1">
      <alignment horizontal="center"/>
    </xf>
    <xf numFmtId="0" fontId="14" fillId="16" borderId="9" xfId="1" applyFill="1" applyBorder="1" applyAlignment="1">
      <alignment horizontal="center"/>
    </xf>
    <xf numFmtId="0" fontId="9" fillId="15" borderId="1" xfId="1" applyFont="1" applyFill="1" applyBorder="1" applyAlignment="1">
      <alignment horizontal="center" wrapText="1"/>
    </xf>
    <xf numFmtId="2" fontId="14" fillId="11" borderId="9" xfId="1" applyNumberFormat="1" applyFill="1" applyBorder="1" applyAlignment="1">
      <alignment horizontal="center"/>
    </xf>
    <xf numFmtId="0" fontId="7" fillId="4" borderId="0" xfId="0" applyFont="1" applyFill="1" applyAlignment="1">
      <alignment horizontal="center" vertical="center" wrapText="1"/>
    </xf>
    <xf numFmtId="0" fontId="14" fillId="11" borderId="9" xfId="1" applyFill="1" applyBorder="1"/>
    <xf numFmtId="0" fontId="18" fillId="11" borderId="9" xfId="1" applyFont="1" applyFill="1" applyBorder="1"/>
    <xf numFmtId="0" fontId="18" fillId="0" borderId="9" xfId="1" applyFont="1" applyBorder="1"/>
    <xf numFmtId="0" fontId="7" fillId="11" borderId="0" xfId="0" applyFont="1" applyFill="1" applyAlignment="1">
      <alignment horizontal="center" vertical="center"/>
    </xf>
    <xf numFmtId="0" fontId="5" fillId="11" borderId="0" xfId="0" applyFont="1" applyFill="1" applyAlignment="1">
      <alignment vertical="center"/>
    </xf>
    <xf numFmtId="0" fontId="0" fillId="0" borderId="10" xfId="0" applyBorder="1" applyAlignment="1">
      <alignment horizontal="center" vertical="center" wrapText="1"/>
    </xf>
    <xf numFmtId="0" fontId="12" fillId="13" borderId="0" xfId="0" applyFont="1" applyFill="1" applyAlignment="1">
      <alignment vertical="center"/>
    </xf>
    <xf numFmtId="0" fontId="0" fillId="13" borderId="0" xfId="0" applyFill="1"/>
    <xf numFmtId="0" fontId="9" fillId="16" borderId="13" xfId="1" applyFont="1" applyFill="1" applyBorder="1"/>
    <xf numFmtId="0" fontId="0" fillId="14" borderId="13" xfId="0" applyFill="1" applyBorder="1"/>
    <xf numFmtId="0" fontId="0" fillId="14" borderId="14" xfId="0" applyFill="1" applyBorder="1"/>
    <xf numFmtId="0" fontId="0" fillId="11" borderId="15" xfId="0" applyFill="1" applyBorder="1"/>
    <xf numFmtId="0" fontId="0" fillId="11" borderId="16" xfId="0" applyFill="1" applyBorder="1" applyAlignment="1">
      <alignment horizontal="center" vertical="center" wrapText="1"/>
    </xf>
    <xf numFmtId="0" fontId="0" fillId="11" borderId="16" xfId="0" applyFill="1" applyBorder="1" applyAlignment="1">
      <alignment horizontal="center" vertical="center"/>
    </xf>
    <xf numFmtId="0" fontId="0" fillId="11" borderId="17" xfId="0" applyFill="1" applyBorder="1" applyAlignment="1">
      <alignment horizontal="center" vertical="center" wrapText="1"/>
    </xf>
    <xf numFmtId="0" fontId="3" fillId="3" borderId="0" xfId="0" applyFont="1" applyFill="1" applyAlignment="1">
      <alignment horizontal="center" vertical="center"/>
    </xf>
    <xf numFmtId="0" fontId="4" fillId="4" borderId="0" xfId="0" applyFont="1" applyFill="1" applyAlignment="1">
      <alignment horizontal="left" vertical="center"/>
    </xf>
    <xf numFmtId="0" fontId="5" fillId="3" borderId="0" xfId="0" applyFont="1" applyFill="1" applyAlignment="1">
      <alignment horizontal="left" vertical="center"/>
    </xf>
    <xf numFmtId="0" fontId="0" fillId="11" borderId="0" xfId="0" applyFill="1" applyAlignment="1">
      <alignment vertical="center" wrapText="1"/>
    </xf>
    <xf numFmtId="0" fontId="0" fillId="11" borderId="0" xfId="0" applyFill="1" applyAlignment="1">
      <alignment vertical="center"/>
    </xf>
    <xf numFmtId="0" fontId="5" fillId="3" borderId="0" xfId="0" applyFont="1" applyFill="1" applyAlignment="1">
      <alignment vertical="center"/>
    </xf>
    <xf numFmtId="0" fontId="0" fillId="0" borderId="0" xfId="0"/>
    <xf numFmtId="0" fontId="0" fillId="7" borderId="0" xfId="0" applyFill="1" applyAlignment="1">
      <alignment vertical="center" wrapText="1"/>
    </xf>
    <xf numFmtId="0" fontId="16" fillId="14" borderId="0" xfId="0" applyFont="1" applyFill="1" applyAlignment="1">
      <alignment horizontal="left" vertical="center" wrapText="1"/>
    </xf>
    <xf numFmtId="0" fontId="13" fillId="2" borderId="0" xfId="0" applyFont="1" applyFill="1" applyAlignment="1">
      <alignment vertical="top" wrapText="1"/>
    </xf>
    <xf numFmtId="0" fontId="0" fillId="14" borderId="0" xfId="0" applyFill="1" applyAlignment="1">
      <alignment horizontal="left"/>
    </xf>
    <xf numFmtId="0" fontId="9" fillId="14" borderId="0" xfId="0" applyFont="1" applyFill="1" applyAlignment="1">
      <alignment horizontal="left" vertical="center" wrapText="1"/>
    </xf>
    <xf numFmtId="0" fontId="9" fillId="5" borderId="0" xfId="0" applyFont="1" applyFill="1" applyAlignment="1">
      <alignment horizontal="left" vertical="center" wrapText="1"/>
    </xf>
    <xf numFmtId="0" fontId="0" fillId="12" borderId="0" xfId="0" applyFill="1" applyAlignment="1">
      <alignment vertical="center" wrapText="1"/>
    </xf>
    <xf numFmtId="0" fontId="0" fillId="14" borderId="14" xfId="0" applyFill="1" applyBorder="1" applyAlignment="1">
      <alignment vertical="center" wrapText="1"/>
    </xf>
    <xf numFmtId="0" fontId="0" fillId="14" borderId="14" xfId="0" applyFill="1" applyBorder="1"/>
    <xf numFmtId="0" fontId="0" fillId="14" borderId="13" xfId="0" applyFill="1" applyBorder="1" applyAlignment="1">
      <alignment vertical="center" wrapText="1"/>
    </xf>
    <xf numFmtId="0" fontId="0" fillId="14" borderId="13" xfId="0" applyFill="1" applyBorder="1"/>
    <xf numFmtId="0" fontId="7" fillId="4" borderId="0" xfId="0" applyFont="1" applyFill="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9" fillId="16" borderId="9" xfId="1" applyFont="1" applyFill="1" applyBorder="1"/>
    <xf numFmtId="0" fontId="14" fillId="16" borderId="9" xfId="1" applyFill="1" applyBorder="1"/>
    <xf numFmtId="0" fontId="14" fillId="16" borderId="0" xfId="1" applyFill="1" applyAlignment="1">
      <alignment horizontal="left" wrapText="1"/>
    </xf>
    <xf numFmtId="2" fontId="14" fillId="17" borderId="8" xfId="1" applyNumberFormat="1" applyFill="1" applyBorder="1" applyAlignment="1">
      <alignment horizontal="center"/>
    </xf>
    <xf numFmtId="0" fontId="14" fillId="17" borderId="8" xfId="1" applyFill="1" applyBorder="1"/>
    <xf numFmtId="0" fontId="25" fillId="15" borderId="0" xfId="1" applyFont="1" applyFill="1" applyAlignment="1">
      <alignment vertical="center"/>
    </xf>
    <xf numFmtId="0" fontId="14" fillId="0" borderId="0" xfId="1"/>
    <xf numFmtId="0" fontId="24" fillId="3" borderId="0" xfId="1" applyFont="1" applyFill="1" applyAlignment="1">
      <alignment vertical="center"/>
    </xf>
    <xf numFmtId="0" fontId="14" fillId="3" borderId="0" xfId="1" applyFill="1"/>
    <xf numFmtId="0" fontId="23" fillId="11" borderId="8" xfId="1" applyFont="1" applyFill="1" applyBorder="1" applyAlignment="1">
      <alignment vertical="center" wrapText="1"/>
    </xf>
    <xf numFmtId="0" fontId="14" fillId="11" borderId="8" xfId="1" applyFill="1" applyBorder="1"/>
    <xf numFmtId="2" fontId="14" fillId="16" borderId="8" xfId="1" applyNumberFormat="1" applyFill="1" applyBorder="1" applyAlignment="1">
      <alignment horizontal="center"/>
    </xf>
    <xf numFmtId="0" fontId="14" fillId="16" borderId="8" xfId="1" applyFill="1" applyBorder="1"/>
    <xf numFmtId="0" fontId="22" fillId="2" borderId="0" xfId="1" applyFont="1" applyFill="1" applyAlignment="1">
      <alignment vertical="center" wrapText="1"/>
    </xf>
    <xf numFmtId="0" fontId="14" fillId="0" borderId="0" xfId="1" applyAlignment="1">
      <alignment vertical="center" wrapText="1"/>
    </xf>
    <xf numFmtId="0" fontId="23" fillId="7" borderId="0" xfId="1" applyFont="1" applyFill="1" applyAlignment="1">
      <alignment vertical="center" wrapText="1"/>
    </xf>
    <xf numFmtId="0" fontId="26" fillId="3" borderId="0" xfId="1" applyFont="1" applyFill="1" applyAlignment="1">
      <alignment vertical="center"/>
    </xf>
    <xf numFmtId="0" fontId="9" fillId="5" borderId="5" xfId="1" applyFont="1" applyFill="1" applyBorder="1" applyAlignment="1">
      <alignment horizontal="center" vertical="center"/>
    </xf>
    <xf numFmtId="0" fontId="9" fillId="5" borderId="7" xfId="1" applyFont="1" applyFill="1" applyBorder="1" applyAlignment="1">
      <alignment horizontal="center" vertical="center"/>
    </xf>
    <xf numFmtId="0" fontId="19" fillId="7" borderId="0" xfId="1" applyFont="1" applyFill="1" applyAlignment="1">
      <alignment vertical="center" wrapText="1"/>
    </xf>
    <xf numFmtId="0" fontId="5" fillId="3" borderId="0" xfId="1" applyFont="1" applyFill="1" applyAlignment="1">
      <alignment vertical="center"/>
    </xf>
    <xf numFmtId="0" fontId="20" fillId="2" borderId="0" xfId="1" applyFont="1" applyFill="1" applyAlignment="1">
      <alignment vertical="top" wrapText="1"/>
    </xf>
    <xf numFmtId="0" fontId="18" fillId="0" borderId="5" xfId="1" applyFont="1" applyBorder="1" applyAlignment="1">
      <alignment vertical="center" wrapText="1"/>
    </xf>
    <xf numFmtId="0" fontId="14" fillId="0" borderId="5" xfId="1" applyBorder="1" applyAlignment="1">
      <alignment vertical="center"/>
    </xf>
    <xf numFmtId="0" fontId="18" fillId="11" borderId="5" xfId="1" applyFont="1" applyFill="1" applyBorder="1" applyAlignment="1">
      <alignment vertical="center" wrapText="1"/>
    </xf>
    <xf numFmtId="0" fontId="14" fillId="11" borderId="5" xfId="1" applyFill="1" applyBorder="1" applyAlignment="1">
      <alignment vertical="center"/>
    </xf>
    <xf numFmtId="0" fontId="3" fillId="3" borderId="0" xfId="1" applyFont="1" applyFill="1" applyAlignment="1">
      <alignment vertical="center"/>
    </xf>
    <xf numFmtId="0" fontId="4" fillId="4" borderId="0" xfId="1" applyFont="1" applyFill="1" applyAlignment="1">
      <alignment vertical="center"/>
    </xf>
    <xf numFmtId="165" fontId="29" fillId="7" borderId="9" xfId="1" applyNumberFormat="1" applyFont="1" applyFill="1" applyBorder="1" applyAlignment="1">
      <alignment horizontal="right"/>
    </xf>
    <xf numFmtId="165" fontId="14" fillId="7" borderId="9" xfId="1" applyNumberFormat="1" applyFill="1" applyBorder="1"/>
    <xf numFmtId="0" fontId="27" fillId="2" borderId="0" xfId="1" applyFont="1" applyFill="1" applyAlignment="1">
      <alignment vertical="center"/>
    </xf>
    <xf numFmtId="2" fontId="14" fillId="0" borderId="9" xfId="1" applyNumberFormat="1" applyBorder="1" applyAlignment="1">
      <alignment horizontal="right"/>
    </xf>
    <xf numFmtId="2" fontId="14" fillId="0" borderId="9" xfId="1" applyNumberFormat="1" applyBorder="1"/>
    <xf numFmtId="2" fontId="14" fillId="11" borderId="9" xfId="1" applyNumberFormat="1" applyFill="1" applyBorder="1" applyAlignment="1">
      <alignment horizontal="right"/>
    </xf>
    <xf numFmtId="2" fontId="14" fillId="11" borderId="9" xfId="1" applyNumberFormat="1" applyFill="1" applyBorder="1"/>
    <xf numFmtId="1" fontId="14" fillId="0" borderId="9" xfId="1" applyNumberFormat="1" applyBorder="1" applyAlignment="1">
      <alignment horizontal="right"/>
    </xf>
    <xf numFmtId="1" fontId="14" fillId="0" borderId="9" xfId="1" applyNumberFormat="1" applyBorder="1"/>
    <xf numFmtId="0" fontId="30" fillId="15" borderId="0" xfId="1" applyFont="1" applyFill="1" applyAlignment="1">
      <alignment vertical="center"/>
    </xf>
    <xf numFmtId="0" fontId="9" fillId="15" borderId="0" xfId="1" applyFont="1" applyFill="1" applyAlignment="1">
      <alignment vertical="center" wrapText="1"/>
    </xf>
    <xf numFmtId="0" fontId="28" fillId="7" borderId="0" xfId="1" applyFont="1" applyFill="1" applyAlignment="1">
      <alignment vertical="center" wrapText="1"/>
    </xf>
    <xf numFmtId="0" fontId="31" fillId="0" borderId="9" xfId="1" applyFont="1" applyBorder="1" applyAlignment="1">
      <alignment horizontal="center"/>
    </xf>
    <xf numFmtId="0" fontId="14" fillId="0" borderId="9" xfId="1" applyBorder="1" applyAlignment="1">
      <alignment horizontal="center"/>
    </xf>
    <xf numFmtId="0" fontId="27" fillId="2" borderId="0" xfId="1" applyFont="1" applyFill="1"/>
    <xf numFmtId="0" fontId="24" fillId="20" borderId="0" xfId="1" applyFont="1" applyFill="1" applyAlignment="1">
      <alignment vertical="center"/>
    </xf>
    <xf numFmtId="0" fontId="14" fillId="20" borderId="0" xfId="1" applyFill="1"/>
    <xf numFmtId="0" fontId="4" fillId="15" borderId="0" xfId="1" applyFont="1" applyFill="1"/>
    <xf numFmtId="0" fontId="14" fillId="15" borderId="0" xfId="1" applyFill="1"/>
    <xf numFmtId="0" fontId="31" fillId="11" borderId="0" xfId="1" applyFont="1" applyFill="1"/>
    <xf numFmtId="0" fontId="14" fillId="11" borderId="0" xfId="1" applyFill="1"/>
    <xf numFmtId="0" fontId="9" fillId="7" borderId="9" xfId="1" applyFont="1" applyFill="1" applyBorder="1"/>
    <xf numFmtId="0" fontId="14" fillId="7" borderId="9" xfId="1" applyFill="1" applyBorder="1"/>
    <xf numFmtId="0" fontId="9" fillId="15" borderId="9" xfId="1" applyFont="1" applyFill="1" applyBorder="1"/>
    <xf numFmtId="0" fontId="14" fillId="0" borderId="9" xfId="1" applyBorder="1"/>
    <xf numFmtId="0" fontId="14" fillId="3" borderId="0" xfId="1" applyFill="1" applyAlignment="1">
      <alignment vertical="center"/>
    </xf>
    <xf numFmtId="0" fontId="12" fillId="15" borderId="0" xfId="1" applyFont="1" applyFill="1" applyAlignment="1">
      <alignment horizontal="center" vertical="center"/>
    </xf>
    <xf numFmtId="0" fontId="17" fillId="3" borderId="0" xfId="1" applyFont="1" applyFill="1" applyAlignment="1">
      <alignment horizontal="left" vertical="center"/>
    </xf>
    <xf numFmtId="0" fontId="28" fillId="7" borderId="0" xfId="1" applyFont="1" applyFill="1" applyAlignment="1">
      <alignment horizontal="left" vertical="center" wrapText="1"/>
    </xf>
    <xf numFmtId="0" fontId="14" fillId="16" borderId="0" xfId="1" applyFill="1" applyAlignment="1">
      <alignment horizontal="left"/>
    </xf>
    <xf numFmtId="0" fontId="34" fillId="14" borderId="0" xfId="0" applyFont="1" applyFill="1" applyAlignment="1">
      <alignment horizontal="center"/>
    </xf>
    <xf numFmtId="0" fontId="31" fillId="2" borderId="0" xfId="1" applyFont="1" applyFill="1"/>
    <xf numFmtId="0" fontId="14" fillId="16" borderId="9" xfId="1" applyFill="1" applyBorder="1" applyAlignment="1">
      <alignment wrapText="1"/>
    </xf>
    <xf numFmtId="0" fontId="17" fillId="3" borderId="0" xfId="1" applyFont="1" applyFill="1" applyAlignment="1">
      <alignment vertical="center"/>
    </xf>
    <xf numFmtId="0" fontId="18" fillId="11" borderId="9" xfId="1" applyFont="1" applyFill="1" applyBorder="1"/>
    <xf numFmtId="0" fontId="14" fillId="11" borderId="9" xfId="1" applyFill="1" applyBorder="1"/>
    <xf numFmtId="167" fontId="14" fillId="11" borderId="9" xfId="1" applyNumberFormat="1" applyFill="1" applyBorder="1" applyAlignment="1">
      <alignment horizontal="center"/>
    </xf>
    <xf numFmtId="0" fontId="14" fillId="11" borderId="9" xfId="1" applyFill="1" applyBorder="1" applyAlignment="1">
      <alignment horizontal="center"/>
    </xf>
    <xf numFmtId="0" fontId="33" fillId="3" borderId="0" xfId="1" applyFont="1" applyFill="1"/>
    <xf numFmtId="0" fontId="9" fillId="7" borderId="6" xfId="1" applyFont="1" applyFill="1" applyBorder="1"/>
    <xf numFmtId="0" fontId="14" fillId="0" borderId="6" xfId="1" applyBorder="1"/>
    <xf numFmtId="0" fontId="0" fillId="7" borderId="0" xfId="0" applyFill="1" applyAlignment="1">
      <alignment horizontal="left" vertical="center" wrapText="1"/>
    </xf>
    <xf numFmtId="0" fontId="5" fillId="3" borderId="0" xfId="0" applyFont="1" applyFill="1" applyAlignment="1">
      <alignment horizontal="left" vertical="center" wrapText="1"/>
    </xf>
    <xf numFmtId="0" fontId="11" fillId="2" borderId="0" xfId="0" applyFont="1" applyFill="1" applyAlignment="1">
      <alignment horizontal="left" vertical="top" wrapText="1"/>
    </xf>
    <xf numFmtId="0" fontId="0" fillId="11" borderId="16" xfId="0" applyFill="1" applyBorder="1" applyAlignment="1">
      <alignment horizontal="center" vertical="center" wrapText="1"/>
    </xf>
    <xf numFmtId="0" fontId="9" fillId="11" borderId="0" xfId="0" applyFont="1" applyFill="1" applyAlignment="1">
      <alignment horizontal="left" vertical="center" wrapText="1"/>
    </xf>
    <xf numFmtId="0" fontId="0" fillId="11" borderId="0" xfId="0" applyFill="1" applyAlignment="1">
      <alignment horizontal="left" vertical="top" wrapText="1"/>
    </xf>
    <xf numFmtId="0" fontId="0" fillId="11" borderId="0" xfId="0" applyFill="1" applyAlignment="1">
      <alignment horizontal="left" vertical="top"/>
    </xf>
    <xf numFmtId="0" fontId="0" fillId="10" borderId="0" xfId="0" applyFill="1" applyAlignment="1">
      <alignment horizontal="left" vertical="center" wrapText="1"/>
    </xf>
    <xf numFmtId="0" fontId="3" fillId="3" borderId="0" xfId="0" applyFont="1" applyFill="1" applyAlignment="1">
      <alignment horizontal="left" vertical="center"/>
    </xf>
    <xf numFmtId="0" fontId="0" fillId="5" borderId="0" xfId="0" applyFill="1" applyAlignment="1">
      <alignment horizontal="left" vertical="center" wrapText="1"/>
    </xf>
    <xf numFmtId="0" fontId="0" fillId="11" borderId="18" xfId="0" applyFill="1" applyBorder="1" applyAlignment="1">
      <alignment horizontal="center" vertical="center" wrapText="1"/>
    </xf>
    <xf numFmtId="0" fontId="0" fillId="11" borderId="18" xfId="0" applyFill="1" applyBorder="1" applyAlignment="1">
      <alignment horizontal="center" vertical="center"/>
    </xf>
    <xf numFmtId="0" fontId="0" fillId="11" borderId="16" xfId="0" applyFill="1" applyBorder="1" applyAlignment="1">
      <alignment horizontal="center" vertical="center"/>
    </xf>
    <xf numFmtId="0" fontId="5" fillId="3" borderId="0" xfId="0" applyFont="1" applyFill="1" applyAlignment="1">
      <alignment vertical="center" wrapText="1"/>
    </xf>
    <xf numFmtId="0" fontId="0" fillId="11" borderId="17" xfId="0" applyFill="1" applyBorder="1" applyAlignment="1">
      <alignment horizontal="center" vertical="center" wrapText="1"/>
    </xf>
    <xf numFmtId="0" fontId="9" fillId="9" borderId="0" xfId="0" applyFont="1" applyFill="1" applyAlignment="1">
      <alignment horizontal="left" vertical="center" wrapText="1"/>
    </xf>
    <xf numFmtId="0" fontId="0" fillId="10" borderId="0" xfId="0" applyFill="1" applyAlignment="1">
      <alignment vertical="center" wrapText="1"/>
    </xf>
    <xf numFmtId="0" fontId="0" fillId="5" borderId="0" xfId="0" applyFill="1" applyAlignment="1">
      <alignment vertical="center" wrapText="1"/>
    </xf>
    <xf numFmtId="0" fontId="0" fillId="0" borderId="0" xfId="0" applyAlignment="1">
      <alignment vertical="center"/>
    </xf>
  </cellXfs>
  <cellStyles count="2">
    <cellStyle name="Normal" xfId="0" builtinId="0"/>
    <cellStyle name="Normal 2" xfId="1" xr:uid="{5DDC99C7-8304-4746-84FC-535573512720}"/>
  </cellStyles>
  <dxfs count="0"/>
  <tableStyles count="0" defaultTableStyle="TableStyleMedium2" defaultPivotStyle="PivotStyleLight16"/>
  <colors>
    <mruColors>
      <color rgb="FFEEF5FB"/>
      <color rgb="FF17365D"/>
      <color rgb="FFFFF2CC"/>
      <color rgb="FFF3EF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SCATTER PLOT: GPA</a:t>
            </a:r>
            <a:r>
              <a:rPr lang="en-US" baseline="0"/>
              <a:t> VS MOTIVATION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dLbls>
          <c:showLegendKey val="0"/>
          <c:showVal val="0"/>
          <c:showCatName val="0"/>
          <c:showSerName val="0"/>
          <c:showPercent val="0"/>
          <c:showBubbleSize val="0"/>
        </c:dLbls>
        <c:axId val="1009605279"/>
        <c:axId val="1009137727"/>
      </c:scatterChart>
      <c:valAx>
        <c:axId val="10096052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137727"/>
        <c:crosses val="autoZero"/>
        <c:crossBetween val="midCat"/>
      </c:valAx>
      <c:valAx>
        <c:axId val="10091377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6052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Scatter Plot : Claim vs Payment</a:t>
            </a:r>
          </a:p>
        </c:rich>
      </c:tx>
      <c:overlay val="0"/>
      <c:spPr>
        <a:noFill/>
        <a:ln>
          <a:noFill/>
        </a:ln>
        <a:effectLst/>
      </c:spPr>
    </c:title>
    <c:autoTitleDeleted val="0"/>
    <c:plotArea>
      <c:layout/>
      <c:scatterChart>
        <c:scatterStyle val="lineMarker"/>
        <c:varyColors val="0"/>
        <c:dLbls>
          <c:showLegendKey val="0"/>
          <c:showVal val="0"/>
          <c:showCatName val="0"/>
          <c:showSerName val="0"/>
          <c:showPercent val="0"/>
          <c:showBubbleSize val="0"/>
        </c:dLbls>
        <c:axId val="1040879744"/>
        <c:axId val="1040870864"/>
      </c:scatterChart>
      <c:valAx>
        <c:axId val="1040879744"/>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40870864"/>
        <c:crosses val="autoZero"/>
        <c:crossBetween val="midCat"/>
      </c:valAx>
      <c:valAx>
        <c:axId val="1040870864"/>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0"/>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040879744"/>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defRPr/>
            </a:pPr>
            <a:r>
              <a:rPr lang="en-MY"/>
              <a:t>Leverage Ratio vs Interest Rate</a:t>
            </a:r>
          </a:p>
        </c:rich>
      </c:tx>
      <c:overlay val="1"/>
    </c:title>
    <c:autoTitleDeleted val="0"/>
    <c:plotArea>
      <c:layout/>
      <c:scatterChart>
        <c:scatterStyle val="lineMarker"/>
        <c:varyColors val="1"/>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n-MY"/>
                  <a:t>Leverage Ratio (X)</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n-MY"/>
                  <a:t>Interest Rate (Y)</a:t>
                </a:r>
              </a:p>
            </c:rich>
          </c:tx>
          <c:overlay val="1"/>
        </c:title>
        <c:numFmt formatCode="0.00" sourceLinked="1"/>
        <c:majorTickMark val="none"/>
        <c:minorTickMark val="none"/>
        <c:tickLblPos val="nextTo"/>
        <c:crossAx val="10"/>
        <c:crosses val="autoZero"/>
        <c:crossBetween val="midCat"/>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13"/>
    </mc:Choice>
    <mc:Fallback>
      <c:style val="13"/>
    </mc:Fallback>
  </mc:AlternateContent>
  <c:chart>
    <c:autoTitleDeleted val="1"/>
    <c:plotArea>
      <c:layout/>
      <c:scatterChart>
        <c:scatterStyle val="lineMarker"/>
        <c:varyColors val="1"/>
        <c:ser>
          <c:idx val="0"/>
          <c:order val="0"/>
          <c:tx>
            <c:v>Transformed</c:v>
          </c:tx>
          <c:spPr>
            <a:ln>
              <a:noFill/>
              <a:prstDash val="solid"/>
            </a:ln>
          </c:spPr>
          <c:marker>
            <c:symbol val="circle"/>
            <c:size val="6"/>
            <c:spPr>
              <a:ln>
                <a:prstDash val="solid"/>
              </a:ln>
            </c:spPr>
          </c:marker>
          <c:xVal>
            <c:numRef>
              <c:f>'Pearson(Leverage_Int)'!$G$6:$G$15</c:f>
              <c:numCache>
                <c:formatCode>0.00</c:formatCode>
                <c:ptCount val="10"/>
                <c:pt idx="0">
                  <c:v>0.1</c:v>
                </c:pt>
                <c:pt idx="1">
                  <c:v>0.4</c:v>
                </c:pt>
                <c:pt idx="2">
                  <c:v>0.5</c:v>
                </c:pt>
                <c:pt idx="3">
                  <c:v>0.8</c:v>
                </c:pt>
                <c:pt idx="4">
                  <c:v>1</c:v>
                </c:pt>
                <c:pt idx="5">
                  <c:v>1.8</c:v>
                </c:pt>
                <c:pt idx="6">
                  <c:v>2</c:v>
                </c:pt>
                <c:pt idx="7">
                  <c:v>2.5</c:v>
                </c:pt>
                <c:pt idx="8">
                  <c:v>2.8</c:v>
                </c:pt>
                <c:pt idx="9">
                  <c:v>3</c:v>
                </c:pt>
              </c:numCache>
            </c:numRef>
          </c:xVal>
          <c:yVal>
            <c:numRef>
              <c:f>'Pearson(Leverage_Int)'!$H$6:$H$15</c:f>
              <c:numCache>
                <c:formatCode>0.00</c:formatCode>
                <c:ptCount val="10"/>
              </c:numCache>
            </c:numRef>
          </c:yVal>
          <c:smooth val="1"/>
          <c:extLst>
            <c:ext xmlns:c16="http://schemas.microsoft.com/office/drawing/2014/chart" uri="{C3380CC4-5D6E-409C-BE32-E72D297353CC}">
              <c16:uniqueId val="{00000000-0E3D-7F43-9237-F0BE851AE00C}"/>
            </c:ext>
          </c:extLst>
        </c:ser>
        <c:dLbls>
          <c:showLegendKey val="0"/>
          <c:showVal val="0"/>
          <c:showCatName val="0"/>
          <c:showSerName val="0"/>
          <c:showPercent val="0"/>
          <c:showBubbleSize val="0"/>
        </c:dLbls>
        <c:axId val="10"/>
        <c:axId val="20"/>
      </c:scatterChart>
      <c:valAx>
        <c:axId val="10"/>
        <c:scaling>
          <c:orientation val="minMax"/>
        </c:scaling>
        <c:delete val="1"/>
        <c:axPos val="b"/>
        <c:numFmt formatCode="0.00" sourceLinked="1"/>
        <c:majorTickMark val="none"/>
        <c:minorTickMark val="none"/>
        <c:tickLblPos val="nextTo"/>
        <c:crossAx val="20"/>
        <c:crosses val="autoZero"/>
        <c:crossBetween val="midCat"/>
      </c:valAx>
      <c:valAx>
        <c:axId val="20"/>
        <c:scaling>
          <c:orientation val="minMax"/>
        </c:scaling>
        <c:delete val="1"/>
        <c:axPos val="l"/>
        <c:numFmt formatCode="0.00" sourceLinked="1"/>
        <c:majorTickMark val="none"/>
        <c:minorTickMark val="none"/>
        <c:tickLblPos val="nextTo"/>
        <c:crossAx val="10"/>
        <c:crosses val="autoZero"/>
        <c:crossBetween val="midCat"/>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SCATTER PLOT O Rank F X vs</a:t>
            </a:r>
            <a:r>
              <a:rPr lang="en-US" baseline="0"/>
              <a:t> Rank 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'Spearman Rank-Ties (Example)'!$E$9</c:f>
              <c:strCache>
                <c:ptCount val="1"/>
                <c:pt idx="0">
                  <c:v>Rank Y</c:v>
                </c:pt>
              </c:strCache>
            </c:strRef>
          </c:tx>
          <c:spPr>
            <a:ln w="25400" cap="rnd">
              <a:noFill/>
              <a:round/>
            </a:ln>
            <a:effectLst/>
          </c:spPr>
          <c:marker>
            <c:symbol val="circle"/>
            <c:size val="5"/>
            <c:spPr>
              <a:solidFill>
                <a:schemeClr val="accent1"/>
              </a:solidFill>
              <a:ln w="9525">
                <a:solidFill>
                  <a:schemeClr val="accent1"/>
                </a:solidFill>
              </a:ln>
              <a:effectLst/>
            </c:spPr>
          </c:marker>
          <c:xVal>
            <c:numRef>
              <c:f>'Spearman Rank-Ties (Example)'!$D$10:$D$15</c:f>
              <c:numCache>
                <c:formatCode>General</c:formatCode>
                <c:ptCount val="6"/>
              </c:numCache>
            </c:numRef>
          </c:xVal>
          <c:yVal>
            <c:numRef>
              <c:f>'Spearman Rank-Ties (Example)'!$E$10:$E$15</c:f>
              <c:numCache>
                <c:formatCode>General</c:formatCode>
                <c:ptCount val="6"/>
              </c:numCache>
            </c:numRef>
          </c:yVal>
          <c:smooth val="0"/>
          <c:extLst>
            <c:ext xmlns:c16="http://schemas.microsoft.com/office/drawing/2014/chart" uri="{C3380CC4-5D6E-409C-BE32-E72D297353CC}">
              <c16:uniqueId val="{00000000-DB55-914B-A6FA-121FBDD4DDD5}"/>
            </c:ext>
          </c:extLst>
        </c:ser>
        <c:dLbls>
          <c:showLegendKey val="0"/>
          <c:showVal val="0"/>
          <c:showCatName val="0"/>
          <c:showSerName val="0"/>
          <c:showPercent val="0"/>
          <c:showBubbleSize val="0"/>
        </c:dLbls>
        <c:axId val="972883039"/>
        <c:axId val="1061971887"/>
      </c:scatterChart>
      <c:valAx>
        <c:axId val="972883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971887"/>
        <c:crosses val="autoZero"/>
        <c:crossBetween val="midCat"/>
      </c:valAx>
      <c:valAx>
        <c:axId val="106197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8830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SCATTER PLOT OF X vs</a:t>
            </a:r>
            <a:r>
              <a:rPr lang="en-US" baseline="0"/>
              <a:t> 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dLbls>
          <c:showLegendKey val="0"/>
          <c:showVal val="0"/>
          <c:showCatName val="0"/>
          <c:showSerName val="0"/>
          <c:showPercent val="0"/>
          <c:showBubbleSize val="0"/>
        </c:dLbls>
        <c:axId val="972883039"/>
        <c:axId val="1061971887"/>
      </c:scatterChart>
      <c:valAx>
        <c:axId val="972883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971887"/>
        <c:crosses val="autoZero"/>
        <c:crossBetween val="midCat"/>
      </c:valAx>
      <c:valAx>
        <c:axId val="106197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8830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170961</xdr:colOff>
      <xdr:row>5</xdr:row>
      <xdr:rowOff>201245</xdr:rowOff>
    </xdr:from>
    <xdr:to>
      <xdr:col>8</xdr:col>
      <xdr:colOff>2627923</xdr:colOff>
      <xdr:row>17</xdr:row>
      <xdr:rowOff>195383</xdr:rowOff>
    </xdr:to>
    <xdr:graphicFrame macro="">
      <xdr:nvGraphicFramePr>
        <xdr:cNvPr id="4" name="Chart 3">
          <a:extLst>
            <a:ext uri="{FF2B5EF4-FFF2-40B4-BE49-F238E27FC236}">
              <a16:creationId xmlns:a16="http://schemas.microsoft.com/office/drawing/2014/main" id="{DCC96460-44B6-133C-9303-CA4285EF4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63500</xdr:colOff>
      <xdr:row>4</xdr:row>
      <xdr:rowOff>50800</xdr:rowOff>
    </xdr:from>
    <xdr:to>
      <xdr:col>9</xdr:col>
      <xdr:colOff>338667</xdr:colOff>
      <xdr:row>17</xdr:row>
      <xdr:rowOff>33866</xdr:rowOff>
    </xdr:to>
    <xdr:graphicFrame macro="">
      <xdr:nvGraphicFramePr>
        <xdr:cNvPr id="4" name="Chart 3">
          <a:extLst>
            <a:ext uri="{FF2B5EF4-FFF2-40B4-BE49-F238E27FC236}">
              <a16:creationId xmlns:a16="http://schemas.microsoft.com/office/drawing/2014/main" id="{2E900840-9C5C-7957-6C02-6CECBC711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32</xdr:row>
      <xdr:rowOff>0</xdr:rowOff>
    </xdr:from>
    <xdr:ext cx="4860000" cy="2880000"/>
    <xdr:graphicFrame macro="">
      <xdr:nvGraphicFramePr>
        <xdr:cNvPr id="2" name="Chart 1">
          <a:extLst>
            <a:ext uri="{FF2B5EF4-FFF2-40B4-BE49-F238E27FC236}">
              <a16:creationId xmlns:a16="http://schemas.microsoft.com/office/drawing/2014/main" id="{CE5A446F-8F56-B644-9113-B8BE4C630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0</xdr:colOff>
      <xdr:row>32</xdr:row>
      <xdr:rowOff>0</xdr:rowOff>
    </xdr:from>
    <xdr:ext cx="4860000" cy="2880000"/>
    <xdr:graphicFrame macro="">
      <xdr:nvGraphicFramePr>
        <xdr:cNvPr id="3" name="Chart 2">
          <a:extLst>
            <a:ext uri="{FF2B5EF4-FFF2-40B4-BE49-F238E27FC236}">
              <a16:creationId xmlns:a16="http://schemas.microsoft.com/office/drawing/2014/main" id="{E21657D8-0378-6041-8865-7CCBBA2B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14</xdr:col>
      <xdr:colOff>783168</xdr:colOff>
      <xdr:row>28</xdr:row>
      <xdr:rowOff>232833</xdr:rowOff>
    </xdr:from>
    <xdr:ext cx="1449917" cy="40216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E46ED53-6683-484A-BB84-E6084B1B5EF3}"/>
                </a:ext>
              </a:extLst>
            </xdr:cNvPr>
            <xdr:cNvSpPr txBox="1"/>
          </xdr:nvSpPr>
          <xdr:spPr>
            <a:xfrm>
              <a:off x="11419418" y="6233583"/>
              <a:ext cx="1449917" cy="402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GB" sz="1500" i="1">
                          <a:latin typeface="Cambria Math" panose="02040503050406030204" pitchFamily="18" charset="0"/>
                          <a:ea typeface="Cambria Math" panose="02040503050406030204" pitchFamily="18" charset="0"/>
                        </a:rPr>
                      </m:ctrlPr>
                    </m:sSubPr>
                    <m:e>
                      <m:r>
                        <a:rPr lang="en-GB" sz="1500" i="1">
                          <a:latin typeface="Cambria Math" panose="02040503050406030204" pitchFamily="18" charset="0"/>
                          <a:ea typeface="Cambria Math" panose="02040503050406030204" pitchFamily="18" charset="0"/>
                        </a:rPr>
                        <m:t>𝜏</m:t>
                      </m:r>
                    </m:e>
                    <m:sub>
                      <m:r>
                        <m:rPr>
                          <m:sty m:val="p"/>
                        </m:rPr>
                        <a:rPr lang="en-US" sz="1500" b="0" i="1">
                          <a:latin typeface="Cambria Math" panose="02040503050406030204" pitchFamily="18" charset="0"/>
                        </a:rPr>
                        <m:t>B</m:t>
                      </m:r>
                    </m:sub>
                  </m:sSub>
                  <m:r>
                    <a:rPr lang="en-US" sz="1500" b="0" i="1">
                      <a:latin typeface="Cambria Math" panose="02040503050406030204" pitchFamily="18" charset="0"/>
                    </a:rPr>
                    <m:t>=</m:t>
                  </m:r>
                  <m:f>
                    <m:fPr>
                      <m:ctrlPr>
                        <a:rPr lang="en-US" sz="1500" b="0" i="1">
                          <a:latin typeface="Cambria Math" panose="02040503050406030204" pitchFamily="18" charset="0"/>
                        </a:rPr>
                      </m:ctrlPr>
                    </m:fPr>
                    <m:num>
                      <m:r>
                        <a:rPr lang="en-US" sz="1500" b="0" i="1">
                          <a:latin typeface="Cambria Math" panose="02040503050406030204" pitchFamily="18" charset="0"/>
                        </a:rPr>
                        <m:t>(</m:t>
                      </m:r>
                      <m:sSub>
                        <m:sSubPr>
                          <m:ctrlPr>
                            <a:rPr lang="en-US" sz="1500" b="0" i="1">
                              <a:latin typeface="Cambria Math" panose="02040503050406030204" pitchFamily="18" charset="0"/>
                            </a:rPr>
                          </m:ctrlPr>
                        </m:sSubPr>
                        <m:e>
                          <m:r>
                            <m:rPr>
                              <m:sty m:val="p"/>
                            </m:rPr>
                            <a:rPr lang="en-US" sz="1500" b="0" i="1">
                              <a:latin typeface="Cambria Math" panose="02040503050406030204" pitchFamily="18" charset="0"/>
                            </a:rPr>
                            <m:t>n</m:t>
                          </m:r>
                        </m:e>
                        <m:sub>
                          <m:r>
                            <m:rPr>
                              <m:sty m:val="p"/>
                            </m:rPr>
                            <a:rPr lang="en-US" sz="1500" b="0" i="1">
                              <a:latin typeface="Cambria Math" panose="02040503050406030204" pitchFamily="18" charset="0"/>
                            </a:rPr>
                            <m:t>c</m:t>
                          </m:r>
                        </m:sub>
                      </m:sSub>
                      <m:r>
                        <a:rPr lang="en-US" sz="1500" b="0" i="1">
                          <a:latin typeface="Cambria Math" panose="02040503050406030204" pitchFamily="18" charset="0"/>
                        </a:rPr>
                        <m:t>−</m:t>
                      </m:r>
                      <m:sSub>
                        <m:sSubPr>
                          <m:ctrlPr>
                            <a:rPr lang="en-US" sz="1500" b="0" i="1">
                              <a:latin typeface="Cambria Math" panose="02040503050406030204" pitchFamily="18" charset="0"/>
                            </a:rPr>
                          </m:ctrlPr>
                        </m:sSubPr>
                        <m:e>
                          <m:r>
                            <m:rPr>
                              <m:sty m:val="p"/>
                            </m:rPr>
                            <a:rPr lang="en-US" sz="1500" b="0" i="1">
                              <a:latin typeface="Cambria Math" panose="02040503050406030204" pitchFamily="18" charset="0"/>
                            </a:rPr>
                            <m:t>n</m:t>
                          </m:r>
                        </m:e>
                        <m:sub>
                          <m:r>
                            <m:rPr>
                              <m:sty m:val="p"/>
                            </m:rPr>
                            <a:rPr lang="en-US" sz="1500" b="0" i="1">
                              <a:latin typeface="Cambria Math" panose="02040503050406030204" pitchFamily="18" charset="0"/>
                            </a:rPr>
                            <m:t>d</m:t>
                          </m:r>
                        </m:sub>
                      </m:sSub>
                      <m:r>
                        <a:rPr lang="en-US" sz="1500" b="0" i="1">
                          <a:latin typeface="Cambria Math" panose="02040503050406030204" pitchFamily="18" charset="0"/>
                        </a:rPr>
                        <m:t>)</m:t>
                      </m:r>
                    </m:num>
                    <m:den>
                      <m:r>
                        <m:rPr>
                          <m:sty m:val="p"/>
                        </m:rPr>
                        <a:rPr lang="en-GB" sz="1500" b="0" i="1">
                          <a:latin typeface="Cambria Math" panose="02040503050406030204" pitchFamily="18" charset="0"/>
                        </a:rPr>
                        <m:t>n</m:t>
                      </m:r>
                      <m:r>
                        <a:rPr lang="en-GB" sz="1500" b="0" i="1">
                          <a:latin typeface="Cambria Math" panose="02040503050406030204" pitchFamily="18" charset="0"/>
                        </a:rPr>
                        <m:t>(</m:t>
                      </m:r>
                      <m:r>
                        <m:rPr>
                          <m:sty m:val="p"/>
                        </m:rPr>
                        <a:rPr lang="en-US" sz="1500" b="0" i="1">
                          <a:latin typeface="Cambria Math" panose="02040503050406030204" pitchFamily="18" charset="0"/>
                        </a:rPr>
                        <m:t>n</m:t>
                      </m:r>
                      <m:r>
                        <a:rPr lang="en-US" sz="1500" b="0" i="1">
                          <a:latin typeface="Cambria Math" panose="02040503050406030204" pitchFamily="18" charset="0"/>
                        </a:rPr>
                        <m:t>−1)/2</m:t>
                      </m:r>
                    </m:den>
                  </m:f>
                </m:oMath>
              </a14:m>
              <a:r>
                <a:rPr lang="en-GB" sz="1500"/>
                <a:t> </a:t>
              </a:r>
            </a:p>
            <a:p>
              <a:endParaRPr lang="en-GB" sz="1400"/>
            </a:p>
          </xdr:txBody>
        </xdr:sp>
      </mc:Choice>
      <mc:Fallback xmlns="">
        <xdr:sp macro="" textlink="">
          <xdr:nvSpPr>
            <xdr:cNvPr id="3" name="TextBox 2">
              <a:extLst>
                <a:ext uri="{FF2B5EF4-FFF2-40B4-BE49-F238E27FC236}">
                  <a16:creationId xmlns:a16="http://schemas.microsoft.com/office/drawing/2014/main" id="{FE46ED53-6683-484A-BB84-E6084B1B5EF3}"/>
                </a:ext>
              </a:extLst>
            </xdr:cNvPr>
            <xdr:cNvSpPr txBox="1"/>
          </xdr:nvSpPr>
          <xdr:spPr>
            <a:xfrm>
              <a:off x="11419418" y="6233583"/>
              <a:ext cx="1449917" cy="402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GB" sz="1500" i="0">
                  <a:latin typeface="Cambria Math" panose="02040503050406030204" pitchFamily="18" charset="0"/>
                  <a:ea typeface="Cambria Math" panose="02040503050406030204" pitchFamily="18" charset="0"/>
                </a:rPr>
                <a:t>𝜏_</a:t>
              </a:r>
              <a:r>
                <a:rPr lang="en-US" sz="1500" b="0" i="0">
                  <a:latin typeface="Cambria Math" panose="02040503050406030204" pitchFamily="18" charset="0"/>
                </a:rPr>
                <a:t>B=((n_c−n_d))/(</a:t>
              </a:r>
              <a:r>
                <a:rPr lang="en-GB" sz="1500" b="0" i="0">
                  <a:latin typeface="Cambria Math" panose="02040503050406030204" pitchFamily="18" charset="0"/>
                </a:rPr>
                <a:t>n(</a:t>
              </a:r>
              <a:r>
                <a:rPr lang="en-US" sz="1500" b="0" i="0">
                  <a:latin typeface="Cambria Math" panose="02040503050406030204" pitchFamily="18" charset="0"/>
                </a:rPr>
                <a:t>n-1)/2)</a:t>
              </a:r>
              <a:r>
                <a:rPr lang="en-GB" sz="1500"/>
                <a:t> </a:t>
              </a:r>
            </a:p>
            <a:p>
              <a:endParaRPr lang="en-GB" sz="14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8</xdr:col>
      <xdr:colOff>50800</xdr:colOff>
      <xdr:row>8</xdr:row>
      <xdr:rowOff>203200</xdr:rowOff>
    </xdr:from>
    <xdr:to>
      <xdr:col>16</xdr:col>
      <xdr:colOff>584200</xdr:colOff>
      <xdr:row>22</xdr:row>
      <xdr:rowOff>0</xdr:rowOff>
    </xdr:to>
    <xdr:graphicFrame macro="">
      <xdr:nvGraphicFramePr>
        <xdr:cNvPr id="2" name="Chart 1">
          <a:extLst>
            <a:ext uri="{FF2B5EF4-FFF2-40B4-BE49-F238E27FC236}">
              <a16:creationId xmlns:a16="http://schemas.microsoft.com/office/drawing/2014/main" id="{3D6EB5A3-AE43-224C-824C-DC40CFF05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8</xdr:col>
      <xdr:colOff>279400</xdr:colOff>
      <xdr:row>25</xdr:row>
      <xdr:rowOff>120650</xdr:rowOff>
    </xdr:from>
    <xdr:ext cx="2108200" cy="4112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4AF1E9F-3674-8748-B750-1A8B4B8D8504}"/>
                </a:ext>
              </a:extLst>
            </xdr:cNvPr>
            <xdr:cNvSpPr txBox="1"/>
          </xdr:nvSpPr>
          <xdr:spPr>
            <a:xfrm>
              <a:off x="8839200" y="7893050"/>
              <a:ext cx="2108200" cy="411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m:r>
                      <a:rPr lang="en-MY" sz="1200" i="1">
                        <a:latin typeface="Cambria Math" panose="02040503050406030204" pitchFamily="18" charset="0"/>
                      </a:rPr>
                      <m:t>𝜌</m:t>
                    </m:r>
                    <m:r>
                      <a:rPr lang="en-MY" sz="1200" i="0">
                        <a:latin typeface="Cambria Math" panose="02040503050406030204" pitchFamily="18" charset="0"/>
                      </a:rPr>
                      <m:t>=1</m:t>
                    </m:r>
                    <m:r>
                      <a:rPr lang="en-US" sz="1200" b="0" i="1">
                        <a:latin typeface="Cambria Math" panose="02040503050406030204" pitchFamily="18" charset="0"/>
                      </a:rPr>
                      <m:t>−</m:t>
                    </m:r>
                    <m:f>
                      <m:fPr>
                        <m:ctrlPr>
                          <a:rPr lang="en-MY" sz="1200" i="0">
                            <a:latin typeface="Cambria Math" panose="02040503050406030204" pitchFamily="18" charset="0"/>
                          </a:rPr>
                        </m:ctrlPr>
                      </m:fPr>
                      <m:num>
                        <m:r>
                          <a:rPr lang="en-MY" sz="1200" i="0">
                            <a:latin typeface="Cambria Math" panose="02040503050406030204" pitchFamily="18" charset="0"/>
                          </a:rPr>
                          <m:t>6</m:t>
                        </m:r>
                        <m:d>
                          <m:dPr>
                            <m:ctrlPr>
                              <a:rPr lang="en-MY" sz="1200" i="1">
                                <a:latin typeface="Cambria Math" panose="02040503050406030204" pitchFamily="18" charset="0"/>
                              </a:rPr>
                            </m:ctrlPr>
                          </m:dPr>
                          <m:e>
                            <m:nary>
                              <m:naryPr>
                                <m:chr m:val="∑"/>
                                <m:limLoc m:val="undOvr"/>
                                <m:subHide m:val="on"/>
                                <m:supHide m:val="on"/>
                                <m:ctrlPr>
                                  <a:rPr lang="en-MY" sz="1200" i="1">
                                    <a:latin typeface="Cambria Math" panose="02040503050406030204" pitchFamily="18" charset="0"/>
                                  </a:rPr>
                                </m:ctrlPr>
                              </m:naryPr>
                              <m:sub/>
                              <m:sup/>
                              <m:e>
                                <m:sSubSup>
                                  <m:sSubSupPr>
                                    <m:ctrlPr>
                                      <a:rPr lang="en-MY" sz="1200" i="1">
                                        <a:latin typeface="Cambria Math" panose="02040503050406030204" pitchFamily="18" charset="0"/>
                                      </a:rPr>
                                    </m:ctrlPr>
                                  </m:sSubSupPr>
                                  <m:e>
                                    <m:r>
                                      <a:rPr lang="en-MY" sz="1200" i="1">
                                        <a:latin typeface="Cambria Math" panose="02040503050406030204" pitchFamily="18" charset="0"/>
                                      </a:rPr>
                                      <m:t>𝑑</m:t>
                                    </m:r>
                                  </m:e>
                                  <m:sub>
                                    <m:r>
                                      <a:rPr lang="en-MY" sz="1200" i="1">
                                        <a:latin typeface="Cambria Math" panose="02040503050406030204" pitchFamily="18" charset="0"/>
                                      </a:rPr>
                                      <m:t>𝑖</m:t>
                                    </m:r>
                                  </m:sub>
                                  <m:sup>
                                    <m:r>
                                      <a:rPr lang="en-MY" sz="1200" i="0">
                                        <a:latin typeface="Cambria Math" panose="02040503050406030204" pitchFamily="18" charset="0"/>
                                      </a:rPr>
                                      <m:t>2</m:t>
                                    </m:r>
                                  </m:sup>
                                </m:sSubSup>
                              </m:e>
                            </m:nary>
                            <m:r>
                              <a:rPr lang="en-MY" sz="1200" i="0">
                                <a:latin typeface="Cambria Math" panose="02040503050406030204" pitchFamily="18" charset="0"/>
                              </a:rPr>
                              <m:t>+</m:t>
                            </m:r>
                            <m:r>
                              <a:rPr lang="en-MY" sz="1200" i="1">
                                <a:latin typeface="Cambria Math" panose="02040503050406030204" pitchFamily="18" charset="0"/>
                              </a:rPr>
                              <m:t>𝐶</m:t>
                            </m:r>
                            <m:sSub>
                              <m:sSubPr>
                                <m:ctrlPr>
                                  <a:rPr lang="en-MY" sz="1200" i="1">
                                    <a:latin typeface="Cambria Math" panose="02040503050406030204" pitchFamily="18" charset="0"/>
                                  </a:rPr>
                                </m:ctrlPr>
                              </m:sSubPr>
                              <m:e>
                                <m:r>
                                  <a:rPr lang="en-MY" sz="1200" i="1">
                                    <a:latin typeface="Cambria Math" panose="02040503050406030204" pitchFamily="18" charset="0"/>
                                  </a:rPr>
                                  <m:t>𝐹</m:t>
                                </m:r>
                              </m:e>
                              <m:sub>
                                <m:r>
                                  <a:rPr lang="en-MY" sz="1200" i="1">
                                    <a:latin typeface="Cambria Math" panose="02040503050406030204" pitchFamily="18" charset="0"/>
                                  </a:rPr>
                                  <m:t>𝑥</m:t>
                                </m:r>
                              </m:sub>
                            </m:sSub>
                            <m:r>
                              <a:rPr lang="en-MY" sz="1200" i="0">
                                <a:latin typeface="Cambria Math" panose="02040503050406030204" pitchFamily="18" charset="0"/>
                              </a:rPr>
                              <m:t>+</m:t>
                            </m:r>
                            <m:r>
                              <a:rPr lang="en-MY" sz="1200" i="1">
                                <a:latin typeface="Cambria Math" panose="02040503050406030204" pitchFamily="18" charset="0"/>
                              </a:rPr>
                              <m:t>𝐶</m:t>
                            </m:r>
                            <m:sSub>
                              <m:sSubPr>
                                <m:ctrlPr>
                                  <a:rPr lang="en-MY" sz="1200" i="1">
                                    <a:latin typeface="Cambria Math" panose="02040503050406030204" pitchFamily="18" charset="0"/>
                                  </a:rPr>
                                </m:ctrlPr>
                              </m:sSubPr>
                              <m:e>
                                <m:r>
                                  <a:rPr lang="en-MY" sz="1200" i="1">
                                    <a:latin typeface="Cambria Math" panose="02040503050406030204" pitchFamily="18" charset="0"/>
                                  </a:rPr>
                                  <m:t>𝐹</m:t>
                                </m:r>
                              </m:e>
                              <m:sub>
                                <m:r>
                                  <a:rPr lang="en-MY" sz="1200" i="1">
                                    <a:latin typeface="Cambria Math" panose="02040503050406030204" pitchFamily="18" charset="0"/>
                                  </a:rPr>
                                  <m:t>𝑦</m:t>
                                </m:r>
                              </m:sub>
                            </m:sSub>
                          </m:e>
                        </m:d>
                      </m:num>
                      <m:den>
                        <m:r>
                          <a:rPr lang="en-MY" sz="1200" i="1">
                            <a:latin typeface="Cambria Math" panose="02040503050406030204" pitchFamily="18" charset="0"/>
                          </a:rPr>
                          <m:t>𝑛</m:t>
                        </m:r>
                        <m:d>
                          <m:dPr>
                            <m:ctrlPr>
                              <a:rPr lang="en-MY" sz="1200" i="1">
                                <a:latin typeface="Cambria Math" panose="02040503050406030204" pitchFamily="18" charset="0"/>
                              </a:rPr>
                            </m:ctrlPr>
                          </m:dPr>
                          <m:e>
                            <m:sSup>
                              <m:sSupPr>
                                <m:ctrlPr>
                                  <a:rPr lang="en-MY" sz="1200" i="1">
                                    <a:latin typeface="Cambria Math" panose="02040503050406030204" pitchFamily="18" charset="0"/>
                                  </a:rPr>
                                </m:ctrlPr>
                              </m:sSupPr>
                              <m:e>
                                <m:r>
                                  <a:rPr lang="en-MY" sz="1200" i="1">
                                    <a:latin typeface="Cambria Math" panose="02040503050406030204" pitchFamily="18" charset="0"/>
                                  </a:rPr>
                                  <m:t>𝑛</m:t>
                                </m:r>
                              </m:e>
                              <m:sup>
                                <m:r>
                                  <a:rPr lang="en-MY" sz="1200" i="0">
                                    <a:latin typeface="Cambria Math" panose="02040503050406030204" pitchFamily="18" charset="0"/>
                                  </a:rPr>
                                  <m:t>2</m:t>
                                </m:r>
                              </m:sup>
                            </m:sSup>
                            <m:r>
                              <a:rPr lang="en-MY" sz="1200" i="0">
                                <a:latin typeface="Cambria Math" panose="02040503050406030204" pitchFamily="18" charset="0"/>
                              </a:rPr>
                              <m:t>−1</m:t>
                            </m:r>
                          </m:e>
                        </m:d>
                      </m:den>
                    </m:f>
                  </m:oMath>
                </m:oMathPara>
              </a14:m>
              <a:endParaRPr lang="en-GB" sz="1200"/>
            </a:p>
          </xdr:txBody>
        </xdr:sp>
      </mc:Choice>
      <mc:Fallback xmlns="">
        <xdr:sp macro="" textlink="">
          <xdr:nvSpPr>
            <xdr:cNvPr id="4" name="TextBox 3">
              <a:extLst>
                <a:ext uri="{FF2B5EF4-FFF2-40B4-BE49-F238E27FC236}">
                  <a16:creationId xmlns:a16="http://schemas.microsoft.com/office/drawing/2014/main" id="{54AF1E9F-3674-8748-B750-1A8B4B8D8504}"/>
                </a:ext>
              </a:extLst>
            </xdr:cNvPr>
            <xdr:cNvSpPr txBox="1"/>
          </xdr:nvSpPr>
          <xdr:spPr>
            <a:xfrm>
              <a:off x="8839200" y="7893050"/>
              <a:ext cx="2108200" cy="411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MY" sz="1200" i="0">
                  <a:latin typeface="Cambria Math" panose="02040503050406030204" pitchFamily="18" charset="0"/>
                </a:rPr>
                <a:t>𝜌=1</a:t>
              </a:r>
              <a:r>
                <a:rPr lang="en-US" sz="1200" b="0" i="0">
                  <a:latin typeface="Cambria Math" panose="02040503050406030204" pitchFamily="18" charset="0"/>
                </a:rPr>
                <a:t>−</a:t>
              </a:r>
              <a:r>
                <a:rPr lang="en-MY" sz="1200" i="0">
                  <a:latin typeface="Cambria Math" panose="02040503050406030204" pitchFamily="18" charset="0"/>
                </a:rPr>
                <a:t>6(∑1▒𝑑_𝑖^2 +𝐶𝐹_𝑥+𝐶𝐹_𝑦 )/𝑛(𝑛^2−1) </a:t>
              </a:r>
              <a:endParaRPr lang="en-GB" sz="12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0</xdr:col>
      <xdr:colOff>609600</xdr:colOff>
      <xdr:row>28</xdr:row>
      <xdr:rowOff>50800</xdr:rowOff>
    </xdr:from>
    <xdr:ext cx="2559050" cy="52705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DC02385-08B6-2E4F-B9B9-A3F2E6904E44}"/>
                </a:ext>
              </a:extLst>
            </xdr:cNvPr>
            <xdr:cNvSpPr txBox="1"/>
          </xdr:nvSpPr>
          <xdr:spPr>
            <a:xfrm>
              <a:off x="609600" y="7683500"/>
              <a:ext cx="2559050" cy="527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b>
                    <m:sSubPr>
                      <m:ctrlPr>
                        <a:rPr lang="en-GB" sz="1500" i="1">
                          <a:latin typeface="Cambria Math" panose="02040503050406030204" pitchFamily="18" charset="0"/>
                          <a:ea typeface="Cambria Math" panose="02040503050406030204" pitchFamily="18" charset="0"/>
                        </a:rPr>
                      </m:ctrlPr>
                    </m:sSubPr>
                    <m:e>
                      <m:r>
                        <a:rPr lang="en-GB" sz="1500" i="1">
                          <a:latin typeface="Cambria Math" panose="02040503050406030204" pitchFamily="18" charset="0"/>
                          <a:ea typeface="Cambria Math" panose="02040503050406030204" pitchFamily="18" charset="0"/>
                        </a:rPr>
                        <m:t>𝜏</m:t>
                      </m:r>
                    </m:e>
                    <m:sub>
                      <m:r>
                        <m:rPr>
                          <m:sty m:val="p"/>
                        </m:rPr>
                        <a:rPr lang="en-US" sz="1500" b="0" i="1">
                          <a:latin typeface="Cambria Math" panose="02040503050406030204" pitchFamily="18" charset="0"/>
                        </a:rPr>
                        <m:t>B</m:t>
                      </m:r>
                    </m:sub>
                  </m:sSub>
                  <m:r>
                    <a:rPr lang="en-US" sz="1500" b="0" i="1">
                      <a:latin typeface="Cambria Math" panose="02040503050406030204" pitchFamily="18" charset="0"/>
                    </a:rPr>
                    <m:t>=</m:t>
                  </m:r>
                  <m:f>
                    <m:fPr>
                      <m:ctrlPr>
                        <a:rPr lang="en-US" sz="1500" b="0" i="1">
                          <a:latin typeface="Cambria Math" panose="02040503050406030204" pitchFamily="18" charset="0"/>
                        </a:rPr>
                      </m:ctrlPr>
                    </m:fPr>
                    <m:num>
                      <m:r>
                        <a:rPr lang="en-US" sz="1500" b="0" i="1">
                          <a:latin typeface="Cambria Math" panose="02040503050406030204" pitchFamily="18" charset="0"/>
                        </a:rPr>
                        <m:t>(</m:t>
                      </m:r>
                      <m:r>
                        <m:rPr>
                          <m:sty m:val="p"/>
                        </m:rPr>
                        <a:rPr lang="en-US" sz="1500" b="0" i="1">
                          <a:latin typeface="Cambria Math" panose="02040503050406030204" pitchFamily="18" charset="0"/>
                        </a:rPr>
                        <m:t>C</m:t>
                      </m:r>
                      <m:r>
                        <a:rPr lang="en-US" sz="1500" b="0" i="1">
                          <a:latin typeface="Cambria Math" panose="02040503050406030204" pitchFamily="18" charset="0"/>
                        </a:rPr>
                        <m:t>−</m:t>
                      </m:r>
                      <m:r>
                        <m:rPr>
                          <m:sty m:val="p"/>
                        </m:rPr>
                        <a:rPr lang="en-US" sz="1500" b="0" i="1">
                          <a:latin typeface="Cambria Math" panose="02040503050406030204" pitchFamily="18" charset="0"/>
                        </a:rPr>
                        <m:t>D</m:t>
                      </m:r>
                      <m:r>
                        <a:rPr lang="en-US" sz="1500" b="0" i="1">
                          <a:latin typeface="Cambria Math" panose="02040503050406030204" pitchFamily="18" charset="0"/>
                        </a:rPr>
                        <m:t>)</m:t>
                      </m:r>
                    </m:num>
                    <m:den>
                      <m:rad>
                        <m:radPr>
                          <m:degHide m:val="on"/>
                          <m:ctrlPr>
                            <a:rPr lang="en-GB" sz="1500" b="0" i="1">
                              <a:latin typeface="Cambria Math" panose="02040503050406030204" pitchFamily="18" charset="0"/>
                            </a:rPr>
                          </m:ctrlPr>
                        </m:radPr>
                        <m:deg/>
                        <m:e>
                          <m:r>
                            <a:rPr lang="en-US" sz="1500" b="0" i="1">
                              <a:latin typeface="Cambria Math" panose="02040503050406030204" pitchFamily="18" charset="0"/>
                            </a:rPr>
                            <m:t>(</m:t>
                          </m:r>
                          <m:r>
                            <m:rPr>
                              <m:sty m:val="p"/>
                            </m:rPr>
                            <a:rPr lang="en-US" sz="1500" b="0" i="1">
                              <a:latin typeface="Cambria Math" panose="02040503050406030204" pitchFamily="18" charset="0"/>
                            </a:rPr>
                            <m:t>C</m:t>
                          </m:r>
                          <m:r>
                            <a:rPr lang="en-US" sz="1500" b="0" i="1">
                              <a:latin typeface="Cambria Math" panose="02040503050406030204" pitchFamily="18" charset="0"/>
                            </a:rPr>
                            <m:t>+</m:t>
                          </m:r>
                          <m:r>
                            <m:rPr>
                              <m:sty m:val="p"/>
                            </m:rPr>
                            <a:rPr lang="en-US" sz="1500" b="0" i="1">
                              <a:latin typeface="Cambria Math" panose="02040503050406030204" pitchFamily="18" charset="0"/>
                            </a:rPr>
                            <m:t>D</m:t>
                          </m:r>
                          <m:r>
                            <a:rPr lang="en-US" sz="1500" b="0" i="1">
                              <a:latin typeface="Cambria Math" panose="02040503050406030204" pitchFamily="18" charset="0"/>
                            </a:rPr>
                            <m:t>+</m:t>
                          </m:r>
                          <m:sSub>
                            <m:sSubPr>
                              <m:ctrlPr>
                                <a:rPr lang="en-US" sz="1500" b="0" i="1">
                                  <a:latin typeface="Cambria Math" panose="02040503050406030204" pitchFamily="18" charset="0"/>
                                </a:rPr>
                              </m:ctrlPr>
                            </m:sSubPr>
                            <m:e>
                              <m:r>
                                <m:rPr>
                                  <m:sty m:val="p"/>
                                </m:rPr>
                                <a:rPr lang="en-US" sz="1500" b="0" i="1">
                                  <a:latin typeface="Cambria Math" panose="02040503050406030204" pitchFamily="18" charset="0"/>
                                </a:rPr>
                                <m:t>T</m:t>
                              </m:r>
                            </m:e>
                            <m:sub>
                              <m:r>
                                <m:rPr>
                                  <m:sty m:val="p"/>
                                </m:rPr>
                                <a:rPr lang="en-US" sz="1500" b="0" i="1">
                                  <a:latin typeface="Cambria Math" panose="02040503050406030204" pitchFamily="18" charset="0"/>
                                </a:rPr>
                                <m:t>X</m:t>
                              </m:r>
                            </m:sub>
                          </m:sSub>
                          <m:r>
                            <a:rPr lang="en-US" sz="1500" b="0" i="1">
                              <a:latin typeface="Cambria Math" panose="02040503050406030204" pitchFamily="18" charset="0"/>
                            </a:rPr>
                            <m:t>)(</m:t>
                          </m:r>
                          <m:r>
                            <m:rPr>
                              <m:sty m:val="p"/>
                            </m:rPr>
                            <a:rPr lang="en-US" sz="1500" b="0" i="1">
                              <a:latin typeface="Cambria Math" panose="02040503050406030204" pitchFamily="18" charset="0"/>
                            </a:rPr>
                            <m:t>C</m:t>
                          </m:r>
                          <m:r>
                            <a:rPr lang="en-US" sz="1500" b="0" i="1">
                              <a:latin typeface="Cambria Math" panose="02040503050406030204" pitchFamily="18" charset="0"/>
                            </a:rPr>
                            <m:t>+</m:t>
                          </m:r>
                          <m:r>
                            <m:rPr>
                              <m:sty m:val="p"/>
                            </m:rPr>
                            <a:rPr lang="en-US" sz="1500" b="0" i="1">
                              <a:latin typeface="Cambria Math" panose="02040503050406030204" pitchFamily="18" charset="0"/>
                            </a:rPr>
                            <m:t>D</m:t>
                          </m:r>
                          <m:r>
                            <a:rPr lang="en-US" sz="1500" b="0" i="1">
                              <a:latin typeface="Cambria Math" panose="02040503050406030204" pitchFamily="18" charset="0"/>
                            </a:rPr>
                            <m:t>+</m:t>
                          </m:r>
                          <m:sSub>
                            <m:sSubPr>
                              <m:ctrlPr>
                                <a:rPr lang="en-US" sz="1500" b="0" i="1">
                                  <a:latin typeface="Cambria Math" panose="02040503050406030204" pitchFamily="18" charset="0"/>
                                </a:rPr>
                              </m:ctrlPr>
                            </m:sSubPr>
                            <m:e>
                              <m:r>
                                <m:rPr>
                                  <m:sty m:val="p"/>
                                </m:rPr>
                                <a:rPr lang="en-US" sz="1500" b="0" i="1">
                                  <a:latin typeface="Cambria Math" panose="02040503050406030204" pitchFamily="18" charset="0"/>
                                </a:rPr>
                                <m:t>T</m:t>
                              </m:r>
                            </m:e>
                            <m:sub>
                              <m:r>
                                <m:rPr>
                                  <m:sty m:val="p"/>
                                </m:rPr>
                                <a:rPr lang="en-US" sz="1500" b="0" i="1">
                                  <a:latin typeface="Cambria Math" panose="02040503050406030204" pitchFamily="18" charset="0"/>
                                </a:rPr>
                                <m:t>Y</m:t>
                              </m:r>
                            </m:sub>
                          </m:sSub>
                          <m:r>
                            <a:rPr lang="en-US" sz="1500" b="0" i="1">
                              <a:latin typeface="Cambria Math" panose="02040503050406030204" pitchFamily="18" charset="0"/>
                            </a:rPr>
                            <m:t>)</m:t>
                          </m:r>
                        </m:e>
                      </m:rad>
                    </m:den>
                  </m:f>
                </m:oMath>
              </a14:m>
              <a:r>
                <a:rPr lang="en-GB" sz="1500"/>
                <a:t> </a:t>
              </a:r>
            </a:p>
            <a:p>
              <a:endParaRPr lang="en-GB" sz="1400"/>
            </a:p>
          </xdr:txBody>
        </xdr:sp>
      </mc:Choice>
      <mc:Fallback xmlns="">
        <xdr:sp macro="" textlink="">
          <xdr:nvSpPr>
            <xdr:cNvPr id="4" name="TextBox 3">
              <a:extLst>
                <a:ext uri="{FF2B5EF4-FFF2-40B4-BE49-F238E27FC236}">
                  <a16:creationId xmlns:a16="http://schemas.microsoft.com/office/drawing/2014/main" id="{7DC02385-08B6-2E4F-B9B9-A3F2E6904E44}"/>
                </a:ext>
              </a:extLst>
            </xdr:cNvPr>
            <xdr:cNvSpPr txBox="1"/>
          </xdr:nvSpPr>
          <xdr:spPr>
            <a:xfrm>
              <a:off x="609600" y="7683500"/>
              <a:ext cx="2559050" cy="527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GB" sz="1500" i="0">
                  <a:latin typeface="Cambria Math" panose="02040503050406030204" pitchFamily="18" charset="0"/>
                  <a:ea typeface="Cambria Math" panose="02040503050406030204" pitchFamily="18" charset="0"/>
                </a:rPr>
                <a:t>𝜏_</a:t>
              </a:r>
              <a:r>
                <a:rPr lang="en-US" sz="1500" b="0" i="0">
                  <a:latin typeface="Cambria Math" panose="02040503050406030204" pitchFamily="18" charset="0"/>
                </a:rPr>
                <a:t>B=</a:t>
              </a:r>
              <a:r>
                <a:rPr lang="en-GB" sz="1500" b="0" i="0">
                  <a:latin typeface="Cambria Math" panose="02040503050406030204" pitchFamily="18" charset="0"/>
                </a:rPr>
                <a:t>(</a:t>
              </a:r>
              <a:r>
                <a:rPr lang="en-US" sz="1500" b="0" i="0">
                  <a:latin typeface="Cambria Math" panose="02040503050406030204" pitchFamily="18" charset="0"/>
                </a:rPr>
                <a:t>(C-D)</a:t>
              </a:r>
              <a:r>
                <a:rPr lang="en-GB" sz="1500" b="0" i="0">
                  <a:latin typeface="Cambria Math" panose="02040503050406030204" pitchFamily="18" charset="0"/>
                </a:rPr>
                <a:t>)/√(</a:t>
              </a:r>
              <a:r>
                <a:rPr lang="en-US" sz="1500" b="0" i="0">
                  <a:latin typeface="Cambria Math" panose="02040503050406030204" pitchFamily="18" charset="0"/>
                </a:rPr>
                <a:t>(C+D+T</a:t>
              </a:r>
              <a:r>
                <a:rPr lang="en-GB" sz="1500" b="0" i="0">
                  <a:latin typeface="Cambria Math" panose="02040503050406030204" pitchFamily="18" charset="0"/>
                </a:rPr>
                <a:t>_</a:t>
              </a:r>
              <a:r>
                <a:rPr lang="en-US" sz="1500" b="0" i="0">
                  <a:latin typeface="Cambria Math" panose="02040503050406030204" pitchFamily="18" charset="0"/>
                </a:rPr>
                <a:t>X)(C+D+T_Y)</a:t>
              </a:r>
              <a:r>
                <a:rPr lang="en-GB" sz="1500" b="0" i="0">
                  <a:latin typeface="Cambria Math" panose="02040503050406030204" pitchFamily="18" charset="0"/>
                </a:rPr>
                <a:t>)</a:t>
              </a:r>
              <a:r>
                <a:rPr lang="en-GB" sz="1500"/>
                <a:t> </a:t>
              </a:r>
            </a:p>
            <a:p>
              <a:endParaRPr lang="en-GB" sz="1400"/>
            </a:p>
          </xdr:txBody>
        </xdr:sp>
      </mc:Fallback>
    </mc:AlternateContent>
    <xdr:clientData/>
  </xdr:oneCellAnchor>
  <xdr:oneCellAnchor>
    <xdr:from>
      <xdr:col>3</xdr:col>
      <xdr:colOff>177800</xdr:colOff>
      <xdr:row>28</xdr:row>
      <xdr:rowOff>76201</xdr:rowOff>
    </xdr:from>
    <xdr:ext cx="1511300" cy="58323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4A97E01-3808-0E46-9BAF-100754A0136B}"/>
                </a:ext>
              </a:extLst>
            </xdr:cNvPr>
            <xdr:cNvSpPr txBox="1"/>
          </xdr:nvSpPr>
          <xdr:spPr>
            <a:xfrm>
              <a:off x="3352800" y="7912101"/>
              <a:ext cx="1511300" cy="583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r>
                      <m:rPr>
                        <m:sty m:val="p"/>
                      </m:rPr>
                      <a:rPr lang="en-US" sz="1300" b="0" i="1">
                        <a:latin typeface="Cambria Math" panose="02040503050406030204" pitchFamily="18" charset="0"/>
                      </a:rPr>
                      <m:t>nCr</m:t>
                    </m:r>
                    <m:r>
                      <a:rPr lang="en-US" sz="1300" b="0" i="1">
                        <a:latin typeface="Cambria Math" panose="02040503050406030204" pitchFamily="18" charset="0"/>
                      </a:rPr>
                      <m:t>=</m:t>
                    </m:r>
                    <m:f>
                      <m:fPr>
                        <m:ctrlPr>
                          <a:rPr lang="en-US" sz="1300" b="0" i="1">
                            <a:latin typeface="Cambria Math" panose="02040503050406030204" pitchFamily="18" charset="0"/>
                          </a:rPr>
                        </m:ctrlPr>
                      </m:fPr>
                      <m:num>
                        <m:r>
                          <m:rPr>
                            <m:sty m:val="p"/>
                          </m:rPr>
                          <a:rPr lang="en-US" sz="1300" b="0" i="1">
                            <a:latin typeface="Cambria Math" panose="02040503050406030204" pitchFamily="18" charset="0"/>
                          </a:rPr>
                          <m:t>n</m:t>
                        </m:r>
                        <m:r>
                          <a:rPr lang="en-US" sz="1300" b="0" i="1">
                            <a:latin typeface="Cambria Math" panose="02040503050406030204" pitchFamily="18" charset="0"/>
                          </a:rPr>
                          <m:t>(</m:t>
                        </m:r>
                        <m:r>
                          <m:rPr>
                            <m:sty m:val="p"/>
                          </m:rPr>
                          <a:rPr lang="en-US" sz="1300" b="0" i="1">
                            <a:latin typeface="Cambria Math" panose="02040503050406030204" pitchFamily="18" charset="0"/>
                          </a:rPr>
                          <m:t>n</m:t>
                        </m:r>
                        <m:r>
                          <a:rPr lang="en-US" sz="1300" b="0" i="1">
                            <a:latin typeface="Cambria Math" panose="02040503050406030204" pitchFamily="18" charset="0"/>
                          </a:rPr>
                          <m:t>−1)</m:t>
                        </m:r>
                      </m:num>
                      <m:den>
                        <m:r>
                          <a:rPr lang="en-US" sz="1300" b="0" i="1">
                            <a:latin typeface="Cambria Math" panose="02040503050406030204" pitchFamily="18" charset="0"/>
                          </a:rPr>
                          <m:t>2</m:t>
                        </m:r>
                      </m:den>
                    </m:f>
                  </m:oMath>
                </m:oMathPara>
              </a14:m>
              <a:endParaRPr lang="en-GB" sz="1300"/>
            </a:p>
            <a:p>
              <a:endParaRPr lang="en-GB" sz="1300"/>
            </a:p>
          </xdr:txBody>
        </xdr:sp>
      </mc:Choice>
      <mc:Fallback xmlns="">
        <xdr:sp macro="" textlink="">
          <xdr:nvSpPr>
            <xdr:cNvPr id="3" name="TextBox 2">
              <a:extLst>
                <a:ext uri="{FF2B5EF4-FFF2-40B4-BE49-F238E27FC236}">
                  <a16:creationId xmlns:a16="http://schemas.microsoft.com/office/drawing/2014/main" id="{B4A97E01-3808-0E46-9BAF-100754A0136B}"/>
                </a:ext>
              </a:extLst>
            </xdr:cNvPr>
            <xdr:cNvSpPr txBox="1"/>
          </xdr:nvSpPr>
          <xdr:spPr>
            <a:xfrm>
              <a:off x="3352800" y="7912101"/>
              <a:ext cx="1511300" cy="583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300" b="0" i="0">
                  <a:latin typeface="Cambria Math" panose="02040503050406030204" pitchFamily="18" charset="0"/>
                </a:rPr>
                <a:t>nCr=(n(n−1))/2</a:t>
              </a:r>
              <a:endParaRPr lang="en-GB" sz="1300"/>
            </a:p>
            <a:p>
              <a:endParaRPr lang="en-GB" sz="1300"/>
            </a:p>
          </xdr:txBody>
        </xdr:sp>
      </mc:Fallback>
    </mc:AlternateContent>
    <xdr:clientData/>
  </xdr:oneCellAnchor>
  <xdr:twoCellAnchor>
    <xdr:from>
      <xdr:col>9</xdr:col>
      <xdr:colOff>12700</xdr:colOff>
      <xdr:row>9</xdr:row>
      <xdr:rowOff>152400</xdr:rowOff>
    </xdr:from>
    <xdr:to>
      <xdr:col>17</xdr:col>
      <xdr:colOff>622300</xdr:colOff>
      <xdr:row>25</xdr:row>
      <xdr:rowOff>241300</xdr:rowOff>
    </xdr:to>
    <xdr:graphicFrame macro="">
      <xdr:nvGraphicFramePr>
        <xdr:cNvPr id="5" name="Chart 4">
          <a:extLst>
            <a:ext uri="{FF2B5EF4-FFF2-40B4-BE49-F238E27FC236}">
              <a16:creationId xmlns:a16="http://schemas.microsoft.com/office/drawing/2014/main" id="{7DDBB5DD-6C5D-4544-9F68-8686084DC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0979-F05B-AC48-B766-56922DDDACED}">
  <sheetPr>
    <tabColor rgb="FFFFC000"/>
    <pageSetUpPr fitToPage="1"/>
  </sheetPr>
  <dimension ref="A1:L41"/>
  <sheetViews>
    <sheetView showGridLines="0" zoomScale="130" zoomScaleNormal="130" workbookViewId="0">
      <pane ySplit="5" topLeftCell="A6" activePane="bottomLeft" state="frozen"/>
      <selection activeCell="N27" sqref="N27"/>
      <selection pane="bottomLeft" activeCell="H30" sqref="H30"/>
    </sheetView>
  </sheetViews>
  <sheetFormatPr baseColWidth="10" defaultColWidth="8.83203125" defaultRowHeight="15" x14ac:dyDescent="0.2"/>
  <cols>
    <col min="1" max="2" width="20" style="31" customWidth="1"/>
    <col min="3" max="5" width="17" style="31" customWidth="1"/>
    <col min="6" max="6" width="4" style="31" customWidth="1"/>
    <col min="7" max="7" width="23.6640625" style="31" customWidth="1"/>
    <col min="8" max="8" width="18" style="31" customWidth="1"/>
    <col min="9" max="9" width="36" style="31" customWidth="1"/>
    <col min="10" max="10" width="4" style="31" customWidth="1"/>
    <col min="11" max="12" width="16" style="31" customWidth="1"/>
    <col min="13" max="16384" width="8.83203125" style="31"/>
  </cols>
  <sheetData>
    <row r="1" spans="1:12" ht="32" customHeight="1" x14ac:dyDescent="0.2">
      <c r="A1" s="146" t="s">
        <v>146</v>
      </c>
      <c r="B1" s="136"/>
      <c r="C1" s="136"/>
      <c r="D1" s="136"/>
      <c r="E1" s="136"/>
      <c r="F1" s="136"/>
      <c r="G1" s="136"/>
      <c r="H1" s="136"/>
      <c r="I1" s="136"/>
      <c r="J1" s="136"/>
      <c r="K1" s="136"/>
      <c r="L1" s="136"/>
    </row>
    <row r="2" spans="1:12" ht="24" customHeight="1" x14ac:dyDescent="0.2">
      <c r="A2" s="135" t="s">
        <v>147</v>
      </c>
      <c r="B2" s="136"/>
      <c r="C2" s="136"/>
      <c r="D2" s="136"/>
      <c r="E2" s="136"/>
      <c r="F2" s="136"/>
      <c r="G2" s="136"/>
      <c r="H2" s="136"/>
      <c r="I2" s="136"/>
      <c r="J2" s="136"/>
      <c r="K2" s="136"/>
      <c r="L2" s="136"/>
    </row>
    <row r="4" spans="1:12" ht="23" customHeight="1" x14ac:dyDescent="0.2">
      <c r="A4" s="137" t="s">
        <v>120</v>
      </c>
      <c r="B4" s="138"/>
      <c r="C4" s="138"/>
      <c r="D4" s="138"/>
      <c r="E4" s="138"/>
      <c r="G4" s="137" t="s">
        <v>121</v>
      </c>
      <c r="H4" s="138"/>
      <c r="I4" s="138"/>
      <c r="J4" s="138"/>
      <c r="K4" s="138"/>
      <c r="L4" s="138"/>
    </row>
    <row r="5" spans="1:12" x14ac:dyDescent="0.2">
      <c r="A5" s="57" t="s">
        <v>27</v>
      </c>
      <c r="B5" s="57" t="s">
        <v>31</v>
      </c>
      <c r="C5" s="57" t="s">
        <v>122</v>
      </c>
      <c r="D5" s="57" t="s">
        <v>123</v>
      </c>
      <c r="E5" s="57" t="s">
        <v>28</v>
      </c>
    </row>
    <row r="6" spans="1:12" ht="21" customHeight="1" x14ac:dyDescent="0.2">
      <c r="A6" s="58">
        <v>2</v>
      </c>
      <c r="B6" s="58">
        <v>50</v>
      </c>
      <c r="C6" s="54"/>
      <c r="D6" s="54"/>
      <c r="E6" s="54"/>
    </row>
    <row r="7" spans="1:12" ht="21" customHeight="1" x14ac:dyDescent="0.2">
      <c r="A7" s="58">
        <v>2</v>
      </c>
      <c r="B7" s="58">
        <v>48</v>
      </c>
      <c r="C7" s="56"/>
      <c r="D7" s="56"/>
      <c r="E7" s="56"/>
    </row>
    <row r="8" spans="1:12" ht="21" customHeight="1" x14ac:dyDescent="0.2">
      <c r="A8" s="58">
        <v>2</v>
      </c>
      <c r="B8" s="58">
        <v>100</v>
      </c>
      <c r="C8" s="54"/>
      <c r="D8" s="54"/>
      <c r="E8" s="54"/>
    </row>
    <row r="9" spans="1:12" ht="21" customHeight="1" x14ac:dyDescent="0.2">
      <c r="A9" s="58">
        <v>2</v>
      </c>
      <c r="B9" s="58">
        <v>12</v>
      </c>
      <c r="C9" s="56"/>
      <c r="D9" s="56"/>
      <c r="E9" s="56"/>
    </row>
    <row r="10" spans="1:12" ht="21" customHeight="1" x14ac:dyDescent="0.2">
      <c r="A10" s="58">
        <v>2.2999999999999998</v>
      </c>
      <c r="B10" s="58">
        <v>34</v>
      </c>
      <c r="C10" s="54"/>
      <c r="D10" s="54"/>
      <c r="E10" s="54"/>
    </row>
    <row r="11" spans="1:12" ht="21" customHeight="1" x14ac:dyDescent="0.2">
      <c r="A11" s="58">
        <v>2.6</v>
      </c>
      <c r="B11" s="58">
        <v>30</v>
      </c>
      <c r="C11" s="56"/>
      <c r="D11" s="56"/>
      <c r="E11" s="56"/>
    </row>
    <row r="12" spans="1:12" ht="21" customHeight="1" x14ac:dyDescent="0.2">
      <c r="A12" s="58">
        <v>2.6</v>
      </c>
      <c r="B12" s="58">
        <v>78</v>
      </c>
      <c r="C12" s="54"/>
      <c r="D12" s="54"/>
      <c r="E12" s="54"/>
    </row>
    <row r="13" spans="1:12" ht="21" customHeight="1" x14ac:dyDescent="0.2">
      <c r="A13" s="58">
        <v>3</v>
      </c>
      <c r="B13" s="58">
        <v>87</v>
      </c>
      <c r="C13" s="56"/>
      <c r="D13" s="56"/>
      <c r="E13" s="56"/>
    </row>
    <row r="14" spans="1:12" ht="21" customHeight="1" x14ac:dyDescent="0.2">
      <c r="A14" s="58">
        <v>3.1</v>
      </c>
      <c r="B14" s="58">
        <v>84</v>
      </c>
      <c r="C14" s="54"/>
      <c r="D14" s="54"/>
      <c r="E14" s="54"/>
    </row>
    <row r="15" spans="1:12" ht="21" customHeight="1" x14ac:dyDescent="0.2">
      <c r="A15" s="58">
        <v>3.2</v>
      </c>
      <c r="B15" s="58">
        <v>75</v>
      </c>
      <c r="C15" s="56"/>
      <c r="D15" s="56"/>
      <c r="E15" s="56"/>
    </row>
    <row r="16" spans="1:12" ht="21" customHeight="1" x14ac:dyDescent="0.2">
      <c r="A16" s="58">
        <v>3.6</v>
      </c>
      <c r="B16" s="58">
        <v>83</v>
      </c>
      <c r="C16" s="54"/>
      <c r="D16" s="54"/>
      <c r="E16" s="54"/>
    </row>
    <row r="17" spans="1:12" ht="21" customHeight="1" x14ac:dyDescent="0.2">
      <c r="A17" s="58">
        <v>3.8</v>
      </c>
      <c r="B17" s="58">
        <v>90</v>
      </c>
      <c r="C17" s="56"/>
      <c r="D17" s="56"/>
      <c r="E17" s="56"/>
    </row>
    <row r="18" spans="1:12" ht="21" customHeight="1" x14ac:dyDescent="0.2">
      <c r="A18" s="58">
        <v>3.8</v>
      </c>
      <c r="B18" s="58">
        <v>90</v>
      </c>
      <c r="C18" s="54"/>
      <c r="D18" s="54"/>
      <c r="E18" s="54"/>
    </row>
    <row r="19" spans="1:12" ht="21" customHeight="1" thickBot="1" x14ac:dyDescent="0.25">
      <c r="A19" s="58">
        <v>4</v>
      </c>
      <c r="B19" s="58">
        <v>98</v>
      </c>
      <c r="C19" s="56"/>
      <c r="D19" s="56"/>
      <c r="E19" s="56"/>
    </row>
    <row r="20" spans="1:12" ht="21" customHeight="1" thickBot="1" x14ac:dyDescent="0.25">
      <c r="A20" s="55"/>
      <c r="B20" s="55"/>
      <c r="C20" s="55"/>
      <c r="D20" s="55"/>
      <c r="E20" s="55"/>
    </row>
    <row r="23" spans="1:12" ht="23" customHeight="1" x14ac:dyDescent="0.2">
      <c r="A23" s="137" t="s">
        <v>124</v>
      </c>
      <c r="B23" s="138"/>
      <c r="C23" s="138"/>
      <c r="D23" s="138"/>
      <c r="E23" s="138"/>
      <c r="G23" s="137" t="s">
        <v>125</v>
      </c>
      <c r="H23" s="138"/>
      <c r="I23" s="138"/>
      <c r="J23" s="138"/>
      <c r="K23" s="138"/>
      <c r="L23" s="138"/>
    </row>
    <row r="24" spans="1:12" ht="20" customHeight="1" x14ac:dyDescent="0.2">
      <c r="A24" s="60" t="s">
        <v>133</v>
      </c>
      <c r="B24" s="141"/>
      <c r="C24" s="142"/>
      <c r="D24" s="52"/>
      <c r="E24" s="52"/>
      <c r="G24" s="52" t="s">
        <v>0</v>
      </c>
      <c r="H24" s="59"/>
      <c r="I24" s="139" t="s">
        <v>145</v>
      </c>
      <c r="J24" s="140"/>
      <c r="K24" s="140"/>
      <c r="L24" s="140"/>
    </row>
    <row r="25" spans="1:12" ht="20" customHeight="1" x14ac:dyDescent="0.2">
      <c r="A25" s="61" t="s">
        <v>134</v>
      </c>
      <c r="B25" s="133"/>
      <c r="C25" s="134"/>
      <c r="D25" s="51"/>
      <c r="E25" s="51"/>
      <c r="G25" s="52" t="s">
        <v>116</v>
      </c>
      <c r="H25" s="59"/>
      <c r="I25" s="139" t="s">
        <v>144</v>
      </c>
      <c r="J25" s="140"/>
      <c r="K25" s="140"/>
      <c r="L25" s="140"/>
    </row>
    <row r="26" spans="1:12" ht="20" customHeight="1" x14ac:dyDescent="0.2">
      <c r="A26" s="60" t="s">
        <v>126</v>
      </c>
      <c r="B26" s="141"/>
      <c r="C26" s="142"/>
      <c r="D26" s="52"/>
      <c r="E26" s="52"/>
      <c r="G26" s="52" t="s">
        <v>118</v>
      </c>
      <c r="H26" s="59"/>
      <c r="I26" s="139" t="s">
        <v>143</v>
      </c>
      <c r="J26" s="140"/>
      <c r="K26" s="140"/>
      <c r="L26" s="140"/>
    </row>
    <row r="27" spans="1:12" ht="20" customHeight="1" x14ac:dyDescent="0.2">
      <c r="A27" s="61" t="s">
        <v>127</v>
      </c>
      <c r="B27" s="133"/>
      <c r="C27" s="134"/>
      <c r="D27" s="51"/>
      <c r="E27" s="51"/>
      <c r="G27" s="53" t="s">
        <v>128</v>
      </c>
      <c r="H27" s="59"/>
      <c r="I27" s="139" t="s">
        <v>142</v>
      </c>
      <c r="J27" s="140"/>
      <c r="K27" s="140"/>
      <c r="L27" s="140"/>
    </row>
    <row r="28" spans="1:12" ht="20" customHeight="1" x14ac:dyDescent="0.2">
      <c r="A28" s="60" t="s">
        <v>26</v>
      </c>
      <c r="B28" s="141"/>
      <c r="C28" s="142"/>
      <c r="D28" s="52"/>
      <c r="E28" s="52"/>
      <c r="G28" s="53" t="s">
        <v>130</v>
      </c>
      <c r="H28" s="59"/>
      <c r="I28" s="139" t="s">
        <v>117</v>
      </c>
      <c r="J28" s="140"/>
      <c r="K28" s="140"/>
      <c r="L28" s="140"/>
    </row>
    <row r="29" spans="1:12" ht="20" customHeight="1" x14ac:dyDescent="0.2">
      <c r="A29" s="61" t="s">
        <v>29</v>
      </c>
      <c r="B29" s="133"/>
      <c r="C29" s="134"/>
      <c r="D29" s="51"/>
      <c r="E29" s="51"/>
    </row>
    <row r="32" spans="1:12" ht="23" customHeight="1" x14ac:dyDescent="0.2">
      <c r="A32" s="137" t="s">
        <v>106</v>
      </c>
      <c r="B32" s="138"/>
      <c r="C32" s="138"/>
      <c r="D32" s="138"/>
      <c r="E32" s="138"/>
      <c r="F32" s="138"/>
      <c r="G32" s="138"/>
      <c r="H32" s="138"/>
      <c r="I32" s="138"/>
      <c r="J32" s="138"/>
      <c r="K32" s="138"/>
      <c r="L32" s="138"/>
    </row>
    <row r="33" spans="1:12" ht="28" customHeight="1" x14ac:dyDescent="0.2">
      <c r="A33" s="145" t="s">
        <v>141</v>
      </c>
      <c r="B33" s="136"/>
      <c r="C33" s="136"/>
      <c r="D33" s="136"/>
      <c r="E33" s="136"/>
      <c r="F33" s="136"/>
      <c r="G33" s="136"/>
      <c r="H33" s="136"/>
      <c r="I33" s="136"/>
      <c r="J33" s="136"/>
      <c r="K33" s="136"/>
      <c r="L33" s="136"/>
    </row>
    <row r="34" spans="1:12" ht="22" customHeight="1" x14ac:dyDescent="0.2">
      <c r="A34" s="136"/>
      <c r="B34" s="136"/>
      <c r="C34" s="136"/>
      <c r="D34" s="136"/>
      <c r="E34" s="136"/>
      <c r="F34" s="136"/>
      <c r="G34" s="136"/>
      <c r="H34" s="136"/>
      <c r="I34" s="136"/>
      <c r="J34" s="136"/>
      <c r="K34" s="136"/>
      <c r="L34" s="136"/>
    </row>
    <row r="36" spans="1:12" ht="23" customHeight="1" x14ac:dyDescent="0.2">
      <c r="A36" s="137" t="s">
        <v>136</v>
      </c>
      <c r="B36" s="138"/>
      <c r="C36" s="138"/>
      <c r="D36" s="138"/>
      <c r="E36" s="138"/>
      <c r="F36" s="138"/>
    </row>
    <row r="37" spans="1:12" ht="28" customHeight="1" x14ac:dyDescent="0.2">
      <c r="A37" s="143" t="s">
        <v>140</v>
      </c>
      <c r="B37" s="136"/>
      <c r="C37" s="136"/>
      <c r="D37" s="136"/>
      <c r="E37" s="136"/>
      <c r="F37" s="136"/>
    </row>
    <row r="38" spans="1:12" ht="28" customHeight="1" x14ac:dyDescent="0.2">
      <c r="A38" s="143" t="s">
        <v>139</v>
      </c>
      <c r="B38" s="136"/>
      <c r="C38" s="136"/>
      <c r="D38" s="136"/>
      <c r="E38" s="136"/>
      <c r="F38" s="136"/>
    </row>
    <row r="39" spans="1:12" ht="28" customHeight="1" x14ac:dyDescent="0.2">
      <c r="A39" s="143" t="s">
        <v>138</v>
      </c>
      <c r="B39" s="136"/>
      <c r="C39" s="136"/>
      <c r="D39" s="136"/>
      <c r="E39" s="136"/>
      <c r="F39" s="136"/>
    </row>
    <row r="40" spans="1:12" ht="28" customHeight="1" x14ac:dyDescent="0.2">
      <c r="A40" s="143" t="s">
        <v>137</v>
      </c>
      <c r="B40" s="136"/>
      <c r="C40" s="136"/>
      <c r="D40" s="136"/>
      <c r="E40" s="136"/>
      <c r="F40" s="136"/>
    </row>
    <row r="41" spans="1:12" ht="28" customHeight="1" x14ac:dyDescent="0.2">
      <c r="A41" s="63"/>
      <c r="B41" s="144"/>
      <c r="C41" s="136"/>
      <c r="D41" s="136"/>
      <c r="E41" s="136"/>
      <c r="F41" s="136"/>
    </row>
  </sheetData>
  <mergeCells count="25">
    <mergeCell ref="A1:L1"/>
    <mergeCell ref="G23:L23"/>
    <mergeCell ref="A39:F39"/>
    <mergeCell ref="I24:L24"/>
    <mergeCell ref="B26:C26"/>
    <mergeCell ref="B28:C28"/>
    <mergeCell ref="A36:F36"/>
    <mergeCell ref="A37:F37"/>
    <mergeCell ref="B25:C25"/>
    <mergeCell ref="B41:F41"/>
    <mergeCell ref="A33:L34"/>
    <mergeCell ref="A38:F38"/>
    <mergeCell ref="A40:F40"/>
    <mergeCell ref="B27:C27"/>
    <mergeCell ref="A2:L2"/>
    <mergeCell ref="A32:L32"/>
    <mergeCell ref="G4:L4"/>
    <mergeCell ref="I27:L27"/>
    <mergeCell ref="B29:C29"/>
    <mergeCell ref="I26:L26"/>
    <mergeCell ref="A4:E4"/>
    <mergeCell ref="A23:E23"/>
    <mergeCell ref="I25:L25"/>
    <mergeCell ref="I28:L28"/>
    <mergeCell ref="B24:C24"/>
  </mergeCells>
  <pageMargins left="0.25" right="0.25" top="0.35" bottom="0.35" header="0.5" footer="0.5"/>
  <pageSetup paperSize="8" orientation="landscape"/>
  <headerFooter>
    <oddFooter>&amp;CPearson Correlation — GPA &amp; Motivation&amp;RPage &amp;P of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22F14-C0B2-B147-B98D-8D457AA8EADC}">
  <sheetPr>
    <tabColor rgb="FFFFC000"/>
    <pageSetUpPr fitToPage="1"/>
  </sheetPr>
  <dimension ref="A1:L39"/>
  <sheetViews>
    <sheetView showGridLines="0" zoomScale="130" zoomScaleNormal="130" workbookViewId="0">
      <pane ySplit="5" topLeftCell="A6" activePane="bottomLeft" state="frozen"/>
      <selection activeCell="N27" sqref="N27"/>
      <selection pane="bottomLeft" activeCell="H24" sqref="H24"/>
    </sheetView>
  </sheetViews>
  <sheetFormatPr baseColWidth="10" defaultColWidth="8.83203125" defaultRowHeight="15" x14ac:dyDescent="0.2"/>
  <cols>
    <col min="1" max="2" width="17" style="31" customWidth="1"/>
    <col min="3" max="5" width="16" style="31" customWidth="1"/>
    <col min="6" max="6" width="4" style="31" customWidth="1"/>
    <col min="7" max="7" width="24.6640625" style="31" customWidth="1"/>
    <col min="8" max="8" width="17" style="31" customWidth="1"/>
    <col min="9" max="12" width="18" style="31" customWidth="1"/>
    <col min="13" max="16384" width="8.83203125" style="31"/>
  </cols>
  <sheetData>
    <row r="1" spans="1:12" ht="34" customHeight="1" x14ac:dyDescent="0.2">
      <c r="A1" s="156" t="s">
        <v>119</v>
      </c>
      <c r="B1" s="136"/>
      <c r="C1" s="136"/>
      <c r="D1" s="136"/>
      <c r="E1" s="136"/>
      <c r="F1" s="136"/>
      <c r="G1" s="136"/>
      <c r="H1" s="136"/>
      <c r="I1" s="136"/>
      <c r="J1" s="136"/>
      <c r="K1" s="136"/>
      <c r="L1" s="136"/>
    </row>
    <row r="2" spans="1:12" ht="23" customHeight="1" x14ac:dyDescent="0.2">
      <c r="A2" s="157"/>
      <c r="B2" s="136"/>
      <c r="C2" s="136"/>
      <c r="D2" s="136"/>
      <c r="E2" s="136"/>
      <c r="F2" s="136"/>
      <c r="G2" s="136"/>
      <c r="H2" s="136"/>
      <c r="I2" s="136"/>
      <c r="J2" s="136"/>
      <c r="K2" s="136"/>
      <c r="L2" s="136"/>
    </row>
    <row r="4" spans="1:12" ht="25" customHeight="1" x14ac:dyDescent="0.2">
      <c r="A4" s="150" t="s">
        <v>120</v>
      </c>
      <c r="B4" s="138"/>
      <c r="C4" s="138"/>
      <c r="D4" s="138"/>
      <c r="E4" s="138"/>
      <c r="G4" s="150" t="s">
        <v>121</v>
      </c>
      <c r="H4" s="138"/>
      <c r="I4" s="138"/>
      <c r="J4" s="138"/>
      <c r="K4" s="138"/>
      <c r="L4" s="138"/>
    </row>
    <row r="5" spans="1:12" ht="16" thickBot="1" x14ac:dyDescent="0.25">
      <c r="A5" s="34" t="s">
        <v>32</v>
      </c>
      <c r="B5" s="34" t="s">
        <v>33</v>
      </c>
      <c r="C5" s="34" t="s">
        <v>122</v>
      </c>
      <c r="D5" s="34" t="s">
        <v>123</v>
      </c>
      <c r="E5" s="34" t="s">
        <v>28</v>
      </c>
    </row>
    <row r="6" spans="1:12" x14ac:dyDescent="0.2">
      <c r="A6" s="35">
        <v>2.1</v>
      </c>
      <c r="B6" s="36">
        <v>2.1800000000000002</v>
      </c>
      <c r="C6" s="37"/>
      <c r="D6" s="38"/>
      <c r="E6" s="38"/>
    </row>
    <row r="7" spans="1:12" x14ac:dyDescent="0.2">
      <c r="A7" s="39">
        <v>2.4</v>
      </c>
      <c r="B7" s="40">
        <v>2.06</v>
      </c>
      <c r="C7" s="41"/>
      <c r="D7" s="42"/>
      <c r="E7" s="42"/>
    </row>
    <row r="8" spans="1:12" x14ac:dyDescent="0.2">
      <c r="A8" s="35">
        <v>2.5</v>
      </c>
      <c r="B8" s="36">
        <v>2.54</v>
      </c>
      <c r="C8" s="37"/>
      <c r="D8" s="38"/>
      <c r="E8" s="38"/>
    </row>
    <row r="9" spans="1:12" x14ac:dyDescent="0.2">
      <c r="A9" s="39">
        <v>3.2</v>
      </c>
      <c r="B9" s="40">
        <v>2.61</v>
      </c>
      <c r="C9" s="41"/>
      <c r="D9" s="42"/>
      <c r="E9" s="42"/>
    </row>
    <row r="10" spans="1:12" x14ac:dyDescent="0.2">
      <c r="A10" s="35">
        <v>3.6</v>
      </c>
      <c r="B10" s="36">
        <v>3.67</v>
      </c>
      <c r="C10" s="37"/>
      <c r="D10" s="38"/>
      <c r="E10" s="38"/>
    </row>
    <row r="11" spans="1:12" x14ac:dyDescent="0.2">
      <c r="A11" s="39">
        <v>3.8</v>
      </c>
      <c r="B11" s="40">
        <v>3.25</v>
      </c>
      <c r="C11" s="41"/>
      <c r="D11" s="42"/>
      <c r="E11" s="42"/>
    </row>
    <row r="12" spans="1:12" x14ac:dyDescent="0.2">
      <c r="A12" s="35">
        <v>4.0999999999999996</v>
      </c>
      <c r="B12" s="36">
        <v>4.0199999999999996</v>
      </c>
      <c r="C12" s="37"/>
      <c r="D12" s="38"/>
      <c r="E12" s="38"/>
    </row>
    <row r="13" spans="1:12" x14ac:dyDescent="0.2">
      <c r="A13" s="39">
        <v>4.2</v>
      </c>
      <c r="B13" s="40">
        <v>3.71</v>
      </c>
      <c r="C13" s="41"/>
      <c r="D13" s="42"/>
      <c r="E13" s="42"/>
    </row>
    <row r="14" spans="1:12" x14ac:dyDescent="0.2">
      <c r="A14" s="35">
        <v>4.5</v>
      </c>
      <c r="B14" s="36">
        <v>4.38</v>
      </c>
      <c r="C14" s="37"/>
      <c r="D14" s="38"/>
      <c r="E14" s="38"/>
    </row>
    <row r="15" spans="1:12" ht="16" thickBot="1" x14ac:dyDescent="0.25">
      <c r="A15" s="39">
        <v>5</v>
      </c>
      <c r="B15" s="40">
        <v>4.45</v>
      </c>
      <c r="C15" s="41"/>
      <c r="D15" s="42"/>
      <c r="E15" s="42"/>
    </row>
    <row r="16" spans="1:12" ht="16" thickBot="1" x14ac:dyDescent="0.25">
      <c r="A16" s="43"/>
      <c r="B16" s="44"/>
      <c r="C16" s="43"/>
      <c r="D16" s="44"/>
      <c r="E16" s="44"/>
    </row>
    <row r="19" spans="1:12" ht="25" customHeight="1" x14ac:dyDescent="0.2">
      <c r="A19" s="32" t="s">
        <v>124</v>
      </c>
      <c r="B19" s="33"/>
      <c r="C19" s="33"/>
      <c r="D19" s="33"/>
      <c r="E19" s="33"/>
      <c r="G19" s="150" t="s">
        <v>125</v>
      </c>
      <c r="H19" s="138"/>
      <c r="I19" s="138"/>
      <c r="J19" s="138"/>
      <c r="K19" s="138"/>
      <c r="L19" s="138"/>
    </row>
    <row r="20" spans="1:12" ht="26" customHeight="1" x14ac:dyDescent="0.2">
      <c r="A20" s="147" t="s">
        <v>133</v>
      </c>
      <c r="B20" s="147"/>
      <c r="C20" s="46"/>
      <c r="D20" s="46"/>
      <c r="E20" s="46"/>
      <c r="G20" s="45" t="s">
        <v>0</v>
      </c>
      <c r="H20" s="73"/>
      <c r="I20" s="154" t="s">
        <v>114</v>
      </c>
      <c r="J20" s="155"/>
      <c r="K20" s="155"/>
      <c r="L20" s="155"/>
    </row>
    <row r="21" spans="1:12" ht="26" customHeight="1" x14ac:dyDescent="0.2">
      <c r="A21" s="148" t="s">
        <v>134</v>
      </c>
      <c r="B21" s="148"/>
      <c r="C21" s="47"/>
      <c r="D21" s="47"/>
      <c r="E21" s="47"/>
      <c r="G21" s="45" t="s">
        <v>116</v>
      </c>
      <c r="H21" s="73"/>
      <c r="I21" s="152" t="s">
        <v>115</v>
      </c>
      <c r="J21" s="153"/>
      <c r="K21" s="153"/>
      <c r="L21" s="153"/>
    </row>
    <row r="22" spans="1:12" ht="26" customHeight="1" x14ac:dyDescent="0.2">
      <c r="A22" s="148" t="s">
        <v>126</v>
      </c>
      <c r="B22" s="148"/>
      <c r="C22" s="48"/>
      <c r="D22" s="48"/>
      <c r="E22" s="48"/>
      <c r="G22" s="45" t="s">
        <v>118</v>
      </c>
      <c r="H22" s="73"/>
      <c r="I22" s="152" t="s">
        <v>113</v>
      </c>
      <c r="J22" s="153"/>
      <c r="K22" s="153"/>
      <c r="L22" s="153"/>
    </row>
    <row r="23" spans="1:12" ht="26" customHeight="1" x14ac:dyDescent="0.2">
      <c r="A23" s="148" t="s">
        <v>127</v>
      </c>
      <c r="B23" s="148"/>
      <c r="C23" s="49"/>
      <c r="D23" s="49"/>
      <c r="E23" s="49"/>
      <c r="G23" s="45" t="s">
        <v>128</v>
      </c>
      <c r="H23" s="74"/>
      <c r="I23" s="152" t="s">
        <v>129</v>
      </c>
      <c r="J23" s="153"/>
      <c r="K23" s="153"/>
      <c r="L23" s="153"/>
    </row>
    <row r="24" spans="1:12" ht="26" customHeight="1" x14ac:dyDescent="0.2">
      <c r="A24" s="148" t="s">
        <v>26</v>
      </c>
      <c r="B24" s="148"/>
      <c r="C24" s="49"/>
      <c r="D24" s="49"/>
      <c r="E24" s="49"/>
      <c r="G24" s="45" t="s">
        <v>130</v>
      </c>
      <c r="H24" s="74"/>
      <c r="I24" s="152" t="s">
        <v>135</v>
      </c>
      <c r="J24" s="153"/>
      <c r="K24" s="153"/>
      <c r="L24" s="153"/>
    </row>
    <row r="25" spans="1:12" ht="23" customHeight="1" x14ac:dyDescent="0.2">
      <c r="A25" s="148" t="s">
        <v>29</v>
      </c>
      <c r="B25" s="148"/>
      <c r="C25" s="50"/>
      <c r="D25" s="50"/>
      <c r="E25" s="50"/>
    </row>
    <row r="28" spans="1:12" ht="25" customHeight="1" x14ac:dyDescent="0.2">
      <c r="A28" s="150" t="s">
        <v>106</v>
      </c>
      <c r="B28" s="138"/>
      <c r="C28" s="138"/>
      <c r="D28" s="138"/>
      <c r="E28" s="138"/>
      <c r="F28" s="138"/>
      <c r="G28" s="138"/>
      <c r="H28" s="138"/>
      <c r="I28" s="138"/>
      <c r="J28" s="138"/>
      <c r="K28" s="138"/>
      <c r="L28" s="138"/>
    </row>
    <row r="29" spans="1:12" ht="30" customHeight="1" x14ac:dyDescent="0.2">
      <c r="A29" s="149" t="str">
        <f>"Pearson correlation coefficient, r = "&amp;TEXT(H24,"0.0000")&amp;". This indicates a very strong positive linear relationship between CLAIM and PAYMENT: higher CLAIM values tend to be associated with higher PAYMENT values. Correlation alone does not establish causation."</f>
        <v>Pearson correlation coefficient, r = 0.0000. This indicates a very strong positive linear relationship between CLAIM and PAYMENT: higher CLAIM values tend to be associated with higher PAYMENT values. Correlation alone does not establish causation.</v>
      </c>
      <c r="B29" s="136"/>
      <c r="C29" s="136"/>
      <c r="D29" s="136"/>
      <c r="E29" s="136"/>
      <c r="F29" s="136"/>
      <c r="G29" s="136"/>
      <c r="H29" s="136"/>
      <c r="I29" s="136"/>
      <c r="J29" s="136"/>
      <c r="K29" s="136"/>
      <c r="L29" s="136"/>
    </row>
    <row r="30" spans="1:12" ht="30" customHeight="1" x14ac:dyDescent="0.2">
      <c r="A30" s="136"/>
      <c r="B30" s="136"/>
      <c r="C30" s="136"/>
      <c r="D30" s="136"/>
      <c r="E30" s="136"/>
      <c r="F30" s="136"/>
      <c r="G30" s="136"/>
      <c r="H30" s="136"/>
      <c r="I30" s="136"/>
      <c r="J30" s="136"/>
      <c r="K30" s="136"/>
      <c r="L30" s="136"/>
    </row>
    <row r="32" spans="1:12" ht="25" customHeight="1" x14ac:dyDescent="0.2">
      <c r="A32" s="150" t="s">
        <v>136</v>
      </c>
      <c r="B32" s="138"/>
      <c r="C32" s="138"/>
      <c r="D32" s="138"/>
      <c r="E32" s="138"/>
      <c r="F32" s="138"/>
    </row>
    <row r="33" spans="1:6" ht="25" customHeight="1" x14ac:dyDescent="0.2">
      <c r="A33" s="151" t="s">
        <v>131</v>
      </c>
      <c r="B33" s="136"/>
      <c r="C33" s="136"/>
      <c r="D33" s="136"/>
      <c r="E33" s="136"/>
      <c r="F33" s="136"/>
    </row>
    <row r="34" spans="1:6" ht="25" customHeight="1" x14ac:dyDescent="0.2">
      <c r="A34" s="136"/>
      <c r="B34" s="136"/>
      <c r="C34" s="136"/>
      <c r="D34" s="136"/>
      <c r="E34" s="136"/>
      <c r="F34" s="136"/>
    </row>
    <row r="35" spans="1:6" ht="25" customHeight="1" x14ac:dyDescent="0.2">
      <c r="A35" s="136"/>
      <c r="B35" s="136"/>
      <c r="C35" s="136"/>
      <c r="D35" s="136"/>
      <c r="E35" s="136"/>
      <c r="F35" s="136"/>
    </row>
    <row r="36" spans="1:6" ht="25" customHeight="1" x14ac:dyDescent="0.2">
      <c r="A36" s="136"/>
      <c r="B36" s="136"/>
      <c r="C36" s="136"/>
      <c r="D36" s="136"/>
      <c r="E36" s="136"/>
      <c r="F36" s="136"/>
    </row>
    <row r="37" spans="1:6" ht="25" customHeight="1" x14ac:dyDescent="0.2">
      <c r="A37" s="136"/>
      <c r="B37" s="136"/>
      <c r="C37" s="136"/>
      <c r="D37" s="136"/>
      <c r="E37" s="136"/>
      <c r="F37" s="136"/>
    </row>
    <row r="38" spans="1:6" ht="25" customHeight="1" x14ac:dyDescent="0.2">
      <c r="A38" s="136"/>
      <c r="B38" s="136"/>
      <c r="C38" s="136"/>
      <c r="D38" s="136"/>
      <c r="E38" s="136"/>
      <c r="F38" s="136"/>
    </row>
    <row r="39" spans="1:6" ht="25" customHeight="1" x14ac:dyDescent="0.2">
      <c r="A39" s="136"/>
      <c r="B39" s="136"/>
      <c r="C39" s="136"/>
      <c r="D39" s="136"/>
      <c r="E39" s="136"/>
      <c r="F39" s="136"/>
    </row>
  </sheetData>
  <mergeCells count="20">
    <mergeCell ref="I20:L20"/>
    <mergeCell ref="I21:L21"/>
    <mergeCell ref="I22:L22"/>
    <mergeCell ref="A1:L1"/>
    <mergeCell ref="A2:L2"/>
    <mergeCell ref="A4:E4"/>
    <mergeCell ref="G4:L4"/>
    <mergeCell ref="G19:L19"/>
    <mergeCell ref="A25:B25"/>
    <mergeCell ref="A29:L30"/>
    <mergeCell ref="A32:F32"/>
    <mergeCell ref="A33:F39"/>
    <mergeCell ref="I23:L23"/>
    <mergeCell ref="I24:L24"/>
    <mergeCell ref="A28:L28"/>
    <mergeCell ref="A20:B20"/>
    <mergeCell ref="A21:B21"/>
    <mergeCell ref="A22:B22"/>
    <mergeCell ref="A23:B23"/>
    <mergeCell ref="A24:B24"/>
  </mergeCells>
  <pageMargins left="0.25" right="0.25" top="0.35" bottom="0.35" header="0.5" footer="0.5"/>
  <pageSetup paperSize="8"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0A84B-D18C-7E4D-86C5-D8F97F471276}">
  <sheetPr>
    <tabColor rgb="FFFFC000"/>
    <pageSetUpPr fitToPage="1"/>
  </sheetPr>
  <dimension ref="A1:L74"/>
  <sheetViews>
    <sheetView showGridLines="0" zoomScale="110" zoomScaleNormal="110" workbookViewId="0">
      <pane ySplit="5" topLeftCell="A6" activePane="bottomLeft" state="frozen"/>
      <selection activeCell="D22" sqref="D22"/>
      <selection pane="bottomLeft" activeCell="N17" sqref="N17"/>
    </sheetView>
  </sheetViews>
  <sheetFormatPr baseColWidth="10" defaultColWidth="8.83203125" defaultRowHeight="15" x14ac:dyDescent="0.2"/>
  <cols>
    <col min="1" max="1" width="16" style="31" customWidth="1"/>
    <col min="2" max="2" width="17" style="31" customWidth="1"/>
    <col min="3" max="4" width="16" style="31" customWidth="1"/>
    <col min="5" max="5" width="17" style="31" customWidth="1"/>
    <col min="6" max="6" width="3" style="31" customWidth="1"/>
    <col min="7" max="7" width="18" style="31" customWidth="1"/>
    <col min="8" max="8" width="17" style="31" customWidth="1"/>
    <col min="9" max="10" width="16" style="31" customWidth="1"/>
    <col min="11" max="11" width="17" style="31" customWidth="1"/>
    <col min="12" max="12" width="3" style="31" customWidth="1"/>
    <col min="13" max="16384" width="8.83203125" style="31"/>
  </cols>
  <sheetData>
    <row r="1" spans="1:12" ht="30" customHeight="1" x14ac:dyDescent="0.2">
      <c r="A1" s="146" t="s">
        <v>187</v>
      </c>
      <c r="B1" s="136"/>
      <c r="C1" s="136"/>
      <c r="D1" s="136"/>
      <c r="E1" s="136"/>
      <c r="F1" s="136"/>
      <c r="G1" s="136"/>
      <c r="H1" s="136"/>
      <c r="I1" s="136"/>
      <c r="J1" s="136"/>
      <c r="K1" s="136"/>
      <c r="L1" s="136"/>
    </row>
    <row r="2" spans="1:12" ht="23" customHeight="1" x14ac:dyDescent="0.2">
      <c r="A2" s="167" t="s">
        <v>186</v>
      </c>
      <c r="B2" s="136"/>
      <c r="C2" s="136"/>
      <c r="D2" s="136"/>
      <c r="E2" s="136"/>
      <c r="F2" s="136"/>
      <c r="G2" s="136"/>
      <c r="H2" s="136"/>
      <c r="I2" s="136"/>
      <c r="J2" s="136"/>
      <c r="K2" s="136"/>
      <c r="L2" s="136"/>
    </row>
    <row r="4" spans="1:12" ht="23" customHeight="1" x14ac:dyDescent="0.2">
      <c r="A4" s="137" t="s">
        <v>185</v>
      </c>
      <c r="B4" s="138"/>
      <c r="C4" s="138"/>
      <c r="D4" s="138"/>
      <c r="E4" s="138"/>
      <c r="G4" s="137" t="s">
        <v>184</v>
      </c>
      <c r="H4" s="138"/>
      <c r="I4" s="138"/>
      <c r="J4" s="138"/>
      <c r="K4" s="138"/>
    </row>
    <row r="5" spans="1:12" ht="34" customHeight="1" thickBot="1" x14ac:dyDescent="0.25">
      <c r="A5" s="68" t="s">
        <v>183</v>
      </c>
      <c r="B5" s="68" t="s">
        <v>34</v>
      </c>
      <c r="C5" s="68" t="s">
        <v>122</v>
      </c>
      <c r="D5" s="68" t="s">
        <v>123</v>
      </c>
      <c r="E5" s="68" t="s">
        <v>28</v>
      </c>
      <c r="G5" s="68" t="s">
        <v>183</v>
      </c>
      <c r="H5" s="68" t="s">
        <v>182</v>
      </c>
      <c r="I5" s="68" t="s">
        <v>122</v>
      </c>
      <c r="J5" s="68" t="s">
        <v>181</v>
      </c>
      <c r="K5" s="68" t="s">
        <v>180</v>
      </c>
    </row>
    <row r="6" spans="1:12" x14ac:dyDescent="0.2">
      <c r="A6" s="69">
        <v>0.1</v>
      </c>
      <c r="B6" s="69">
        <v>2.8</v>
      </c>
      <c r="C6" s="71"/>
      <c r="D6" s="69"/>
      <c r="E6" s="69"/>
      <c r="G6" s="69">
        <v>0.1</v>
      </c>
      <c r="H6" s="69"/>
      <c r="I6" s="71"/>
      <c r="J6" s="69"/>
      <c r="K6" s="67"/>
    </row>
    <row r="7" spans="1:12" x14ac:dyDescent="0.2">
      <c r="A7" s="70">
        <v>0.4</v>
      </c>
      <c r="B7" s="70">
        <v>3.4</v>
      </c>
      <c r="C7" s="71"/>
      <c r="D7" s="70"/>
      <c r="E7" s="70"/>
      <c r="G7" s="70">
        <v>0.4</v>
      </c>
      <c r="H7" s="69"/>
      <c r="I7" s="71"/>
      <c r="J7" s="69"/>
      <c r="K7" s="67"/>
    </row>
    <row r="8" spans="1:12" x14ac:dyDescent="0.2">
      <c r="A8" s="69">
        <v>0.5</v>
      </c>
      <c r="B8" s="69">
        <v>3.5</v>
      </c>
      <c r="C8" s="71"/>
      <c r="D8" s="69"/>
      <c r="E8" s="69"/>
      <c r="G8" s="69">
        <v>0.5</v>
      </c>
      <c r="H8" s="69"/>
      <c r="I8" s="71"/>
      <c r="J8" s="69"/>
      <c r="K8" s="67"/>
    </row>
    <row r="9" spans="1:12" x14ac:dyDescent="0.2">
      <c r="A9" s="70">
        <v>0.8</v>
      </c>
      <c r="B9" s="70">
        <v>3.6</v>
      </c>
      <c r="C9" s="71"/>
      <c r="D9" s="70"/>
      <c r="E9" s="70"/>
      <c r="G9" s="70">
        <v>0.8</v>
      </c>
      <c r="H9" s="69"/>
      <c r="I9" s="71"/>
      <c r="J9" s="69"/>
      <c r="K9" s="67"/>
    </row>
    <row r="10" spans="1:12" x14ac:dyDescent="0.2">
      <c r="A10" s="69">
        <v>1</v>
      </c>
      <c r="B10" s="69">
        <v>4.5999999999999996</v>
      </c>
      <c r="C10" s="71"/>
      <c r="D10" s="69"/>
      <c r="E10" s="69"/>
      <c r="G10" s="69">
        <v>1</v>
      </c>
      <c r="H10" s="69"/>
      <c r="I10" s="71"/>
      <c r="J10" s="69"/>
      <c r="K10" s="67"/>
    </row>
    <row r="11" spans="1:12" x14ac:dyDescent="0.2">
      <c r="A11" s="70">
        <v>1.8</v>
      </c>
      <c r="B11" s="70">
        <v>6.3</v>
      </c>
      <c r="C11" s="71"/>
      <c r="D11" s="70"/>
      <c r="E11" s="70"/>
      <c r="G11" s="70">
        <v>1.8</v>
      </c>
      <c r="H11" s="69"/>
      <c r="I11" s="71"/>
      <c r="J11" s="69"/>
      <c r="K11" s="67"/>
    </row>
    <row r="12" spans="1:12" x14ac:dyDescent="0.2">
      <c r="A12" s="69">
        <v>2</v>
      </c>
      <c r="B12" s="69">
        <v>10.199999999999999</v>
      </c>
      <c r="C12" s="71"/>
      <c r="D12" s="69"/>
      <c r="E12" s="69"/>
      <c r="G12" s="69">
        <v>2</v>
      </c>
      <c r="H12" s="69"/>
      <c r="I12" s="71"/>
      <c r="J12" s="69"/>
      <c r="K12" s="67"/>
    </row>
    <row r="13" spans="1:12" x14ac:dyDescent="0.2">
      <c r="A13" s="70">
        <v>2.5</v>
      </c>
      <c r="B13" s="70">
        <v>19.7</v>
      </c>
      <c r="C13" s="71"/>
      <c r="D13" s="70"/>
      <c r="E13" s="70"/>
      <c r="G13" s="70">
        <v>2.5</v>
      </c>
      <c r="H13" s="69"/>
      <c r="I13" s="71"/>
      <c r="J13" s="69"/>
      <c r="K13" s="67"/>
    </row>
    <row r="14" spans="1:12" x14ac:dyDescent="0.2">
      <c r="A14" s="69">
        <v>2.8</v>
      </c>
      <c r="B14" s="69">
        <v>31.3</v>
      </c>
      <c r="C14" s="71"/>
      <c r="D14" s="69"/>
      <c r="E14" s="69"/>
      <c r="G14" s="69">
        <v>2.8</v>
      </c>
      <c r="H14" s="69"/>
      <c r="I14" s="71"/>
      <c r="J14" s="69"/>
      <c r="K14" s="67"/>
    </row>
    <row r="15" spans="1:12" ht="16" thickBot="1" x14ac:dyDescent="0.25">
      <c r="A15" s="70">
        <v>3</v>
      </c>
      <c r="B15" s="70">
        <v>42.9</v>
      </c>
      <c r="C15" s="71"/>
      <c r="D15" s="70"/>
      <c r="E15" s="70"/>
      <c r="G15" s="70">
        <v>3</v>
      </c>
      <c r="H15" s="69"/>
      <c r="I15" s="71"/>
      <c r="J15" s="69"/>
      <c r="K15" s="67"/>
    </row>
    <row r="16" spans="1:12" ht="16" thickBot="1" x14ac:dyDescent="0.25">
      <c r="A16" s="43"/>
      <c r="B16" s="43"/>
      <c r="C16" s="43"/>
      <c r="D16" s="43"/>
      <c r="E16" s="43"/>
      <c r="G16" s="43"/>
      <c r="H16" s="43"/>
      <c r="I16" s="43"/>
      <c r="J16" s="43"/>
      <c r="K16" s="43"/>
    </row>
    <row r="19" spans="1:11" ht="23" customHeight="1" x14ac:dyDescent="0.2">
      <c r="A19" s="137" t="s">
        <v>179</v>
      </c>
      <c r="B19" s="138"/>
      <c r="C19" s="138"/>
      <c r="D19" s="138"/>
      <c r="E19" s="138"/>
      <c r="G19" s="137" t="s">
        <v>178</v>
      </c>
      <c r="H19" s="138"/>
      <c r="I19" s="138"/>
      <c r="J19" s="138"/>
      <c r="K19" s="138"/>
    </row>
    <row r="20" spans="1:11" x14ac:dyDescent="0.2">
      <c r="A20" s="66" t="s">
        <v>25</v>
      </c>
      <c r="B20" s="163"/>
      <c r="C20" s="164"/>
      <c r="D20" s="62"/>
      <c r="E20" s="62"/>
      <c r="G20" s="66" t="s">
        <v>25</v>
      </c>
      <c r="H20" s="163"/>
      <c r="I20" s="164"/>
      <c r="J20" s="62"/>
      <c r="K20" s="62"/>
    </row>
    <row r="21" spans="1:11" x14ac:dyDescent="0.2">
      <c r="A21" s="66" t="s">
        <v>30</v>
      </c>
      <c r="B21" s="161"/>
      <c r="C21" s="162"/>
      <c r="G21" s="66" t="s">
        <v>177</v>
      </c>
      <c r="H21" s="161"/>
      <c r="I21" s="162"/>
    </row>
    <row r="22" spans="1:11" x14ac:dyDescent="0.2">
      <c r="A22" s="66" t="s">
        <v>176</v>
      </c>
      <c r="B22" s="161"/>
      <c r="C22" s="162"/>
      <c r="G22" s="66" t="s">
        <v>176</v>
      </c>
      <c r="H22" s="161"/>
      <c r="I22" s="162"/>
    </row>
    <row r="23" spans="1:11" x14ac:dyDescent="0.2">
      <c r="A23" s="66" t="s">
        <v>175</v>
      </c>
      <c r="B23" s="161"/>
      <c r="C23" s="162"/>
      <c r="G23" s="66" t="s">
        <v>174</v>
      </c>
      <c r="H23" s="161"/>
      <c r="I23" s="162"/>
    </row>
    <row r="24" spans="1:11" x14ac:dyDescent="0.2">
      <c r="A24" s="66" t="s">
        <v>173</v>
      </c>
      <c r="B24" s="161"/>
      <c r="C24" s="162"/>
      <c r="G24" s="66" t="s">
        <v>172</v>
      </c>
      <c r="H24" s="161"/>
      <c r="I24" s="162"/>
    </row>
    <row r="25" spans="1:11" x14ac:dyDescent="0.2">
      <c r="A25" s="66" t="s">
        <v>29</v>
      </c>
      <c r="B25" s="165"/>
      <c r="C25" s="166"/>
      <c r="G25" s="66" t="s">
        <v>29</v>
      </c>
      <c r="H25" s="165"/>
      <c r="I25" s="166"/>
    </row>
    <row r="26" spans="1:11" x14ac:dyDescent="0.2">
      <c r="A26" s="66" t="s">
        <v>0</v>
      </c>
      <c r="B26" s="161"/>
      <c r="C26" s="162"/>
      <c r="G26" s="66" t="s">
        <v>0</v>
      </c>
      <c r="H26" s="161"/>
      <c r="I26" s="162"/>
    </row>
    <row r="27" spans="1:11" x14ac:dyDescent="0.2">
      <c r="A27" s="66" t="s">
        <v>116</v>
      </c>
      <c r="B27" s="161"/>
      <c r="C27" s="162"/>
      <c r="G27" s="66" t="s">
        <v>171</v>
      </c>
      <c r="H27" s="161"/>
      <c r="I27" s="162"/>
    </row>
    <row r="28" spans="1:11" x14ac:dyDescent="0.2">
      <c r="A28" s="66" t="s">
        <v>118</v>
      </c>
      <c r="B28" s="161"/>
      <c r="C28" s="162"/>
      <c r="G28" s="66" t="s">
        <v>170</v>
      </c>
      <c r="H28" s="161"/>
      <c r="I28" s="162"/>
    </row>
    <row r="29" spans="1:11" x14ac:dyDescent="0.2">
      <c r="A29" s="64" t="s">
        <v>169</v>
      </c>
      <c r="B29" s="158"/>
      <c r="C29" s="159"/>
      <c r="G29" s="64" t="s">
        <v>169</v>
      </c>
      <c r="H29" s="158"/>
      <c r="I29" s="159"/>
    </row>
    <row r="32" spans="1:11" ht="23" customHeight="1" x14ac:dyDescent="0.2">
      <c r="A32" s="137" t="s">
        <v>168</v>
      </c>
      <c r="B32" s="138"/>
      <c r="C32" s="138"/>
      <c r="D32" s="138"/>
      <c r="E32" s="138"/>
      <c r="G32" s="137" t="s">
        <v>167</v>
      </c>
      <c r="H32" s="138"/>
      <c r="I32" s="138"/>
      <c r="J32" s="138"/>
      <c r="K32" s="138"/>
    </row>
    <row r="49" spans="1:11" ht="23" customHeight="1" x14ac:dyDescent="0.2">
      <c r="A49" s="137" t="s">
        <v>166</v>
      </c>
      <c r="B49" s="138"/>
      <c r="C49" s="138"/>
      <c r="D49" s="138"/>
      <c r="E49" s="138"/>
      <c r="F49" s="138"/>
      <c r="G49" s="138"/>
      <c r="H49" s="138"/>
      <c r="I49" s="138"/>
      <c r="J49" s="138"/>
      <c r="K49" s="138"/>
    </row>
    <row r="50" spans="1:11" ht="34" customHeight="1" x14ac:dyDescent="0.2">
      <c r="A50" s="169" t="s">
        <v>165</v>
      </c>
      <c r="B50" s="136"/>
      <c r="C50" s="136"/>
      <c r="D50" s="136"/>
      <c r="E50" s="136"/>
      <c r="F50" s="136"/>
      <c r="G50" s="136"/>
      <c r="H50" s="136"/>
      <c r="I50" s="136"/>
      <c r="J50" s="136"/>
      <c r="K50" s="136"/>
    </row>
    <row r="51" spans="1:11" x14ac:dyDescent="0.2">
      <c r="A51" s="136"/>
      <c r="B51" s="136"/>
      <c r="C51" s="136"/>
      <c r="D51" s="136"/>
      <c r="E51" s="136"/>
      <c r="F51" s="136"/>
      <c r="G51" s="136"/>
      <c r="H51" s="136"/>
      <c r="I51" s="136"/>
      <c r="J51" s="136"/>
      <c r="K51" s="136"/>
    </row>
    <row r="52" spans="1:11" ht="38" customHeight="1" x14ac:dyDescent="0.2">
      <c r="A52" s="168" t="s">
        <v>188</v>
      </c>
      <c r="B52" s="136"/>
      <c r="C52" s="136"/>
      <c r="D52" s="136"/>
      <c r="E52" s="136"/>
      <c r="F52" s="136"/>
      <c r="G52" s="136"/>
      <c r="H52" s="136"/>
      <c r="I52" s="136"/>
      <c r="J52" s="136"/>
      <c r="K52" s="136"/>
    </row>
    <row r="53" spans="1:11" x14ac:dyDescent="0.2">
      <c r="A53" s="136"/>
      <c r="B53" s="136"/>
      <c r="C53" s="136"/>
      <c r="D53" s="136"/>
      <c r="E53" s="136"/>
      <c r="F53" s="136"/>
      <c r="G53" s="136"/>
      <c r="H53" s="136"/>
      <c r="I53" s="136"/>
      <c r="J53" s="136"/>
      <c r="K53" s="136"/>
    </row>
    <row r="55" spans="1:11" ht="23" customHeight="1" x14ac:dyDescent="0.2">
      <c r="A55" s="137" t="s">
        <v>164</v>
      </c>
      <c r="B55" s="138"/>
      <c r="C55" s="138"/>
      <c r="D55" s="138"/>
      <c r="E55" s="138"/>
      <c r="F55" s="138"/>
      <c r="G55" s="138"/>
      <c r="H55" s="138"/>
      <c r="I55" s="138"/>
      <c r="J55" s="138"/>
      <c r="K55" s="138"/>
    </row>
    <row r="56" spans="1:11" ht="18" customHeight="1" x14ac:dyDescent="0.2">
      <c r="A56" s="160" t="s">
        <v>163</v>
      </c>
      <c r="B56" s="136"/>
      <c r="C56" s="136"/>
      <c r="D56" s="136"/>
      <c r="E56" s="136"/>
      <c r="F56" s="136"/>
      <c r="G56" s="136"/>
      <c r="H56" s="136"/>
      <c r="I56" s="136"/>
      <c r="J56" s="136"/>
      <c r="K56" s="136"/>
    </row>
    <row r="57" spans="1:11" ht="18" customHeight="1" x14ac:dyDescent="0.2">
      <c r="A57" s="160" t="s">
        <v>162</v>
      </c>
      <c r="B57" s="136"/>
      <c r="C57" s="136"/>
      <c r="D57" s="136"/>
      <c r="E57" s="136"/>
      <c r="F57" s="136"/>
      <c r="G57" s="136"/>
      <c r="H57" s="136"/>
      <c r="I57" s="136"/>
      <c r="J57" s="136"/>
      <c r="K57" s="136"/>
    </row>
    <row r="58" spans="1:11" ht="18" customHeight="1" x14ac:dyDescent="0.2">
      <c r="A58" s="160"/>
      <c r="B58" s="136"/>
      <c r="C58" s="136"/>
      <c r="D58" s="136"/>
      <c r="E58" s="136"/>
      <c r="F58" s="136"/>
      <c r="G58" s="136"/>
      <c r="H58" s="136"/>
      <c r="I58" s="136"/>
      <c r="J58" s="136"/>
      <c r="K58" s="136"/>
    </row>
    <row r="59" spans="1:11" ht="18" customHeight="1" x14ac:dyDescent="0.2">
      <c r="A59" s="160" t="s">
        <v>161</v>
      </c>
      <c r="B59" s="136"/>
      <c r="C59" s="136"/>
      <c r="D59" s="136"/>
      <c r="E59" s="136"/>
      <c r="F59" s="136"/>
      <c r="G59" s="136"/>
      <c r="H59" s="136"/>
      <c r="I59" s="136"/>
      <c r="J59" s="136"/>
      <c r="K59" s="136"/>
    </row>
    <row r="60" spans="1:11" ht="18" customHeight="1" x14ac:dyDescent="0.2">
      <c r="A60" s="160" t="s">
        <v>160</v>
      </c>
      <c r="B60" s="136"/>
      <c r="C60" s="136"/>
      <c r="D60" s="136"/>
      <c r="E60" s="136"/>
      <c r="F60" s="136"/>
      <c r="G60" s="136"/>
      <c r="H60" s="136"/>
      <c r="I60" s="136"/>
      <c r="J60" s="136"/>
      <c r="K60" s="136"/>
    </row>
    <row r="61" spans="1:11" ht="18" customHeight="1" x14ac:dyDescent="0.2">
      <c r="A61" s="160" t="s">
        <v>159</v>
      </c>
      <c r="B61" s="136"/>
      <c r="C61" s="136"/>
      <c r="D61" s="136"/>
      <c r="E61" s="136"/>
      <c r="F61" s="136"/>
      <c r="G61" s="136"/>
      <c r="H61" s="136"/>
      <c r="I61" s="136"/>
      <c r="J61" s="136"/>
      <c r="K61" s="136"/>
    </row>
    <row r="62" spans="1:11" ht="18" customHeight="1" x14ac:dyDescent="0.2">
      <c r="A62" s="160" t="s">
        <v>158</v>
      </c>
      <c r="B62" s="136"/>
      <c r="C62" s="136"/>
      <c r="D62" s="136"/>
      <c r="E62" s="136"/>
      <c r="F62" s="136"/>
      <c r="G62" s="136"/>
      <c r="H62" s="136"/>
      <c r="I62" s="136"/>
      <c r="J62" s="136"/>
      <c r="K62" s="136"/>
    </row>
    <row r="63" spans="1:11" ht="18" customHeight="1" x14ac:dyDescent="0.2">
      <c r="A63" s="160" t="s">
        <v>157</v>
      </c>
      <c r="B63" s="136"/>
      <c r="C63" s="136"/>
      <c r="D63" s="136"/>
      <c r="E63" s="136"/>
      <c r="F63" s="136"/>
      <c r="G63" s="136"/>
      <c r="H63" s="136"/>
      <c r="I63" s="136"/>
      <c r="J63" s="136"/>
      <c r="K63" s="136"/>
    </row>
    <row r="64" spans="1:11" ht="18" customHeight="1" x14ac:dyDescent="0.2">
      <c r="A64" s="160" t="s">
        <v>156</v>
      </c>
      <c r="B64" s="136"/>
      <c r="C64" s="136"/>
      <c r="D64" s="136"/>
      <c r="E64" s="136"/>
      <c r="F64" s="136"/>
      <c r="G64" s="136"/>
      <c r="H64" s="136"/>
      <c r="I64" s="136"/>
      <c r="J64" s="136"/>
      <c r="K64" s="136"/>
    </row>
    <row r="65" spans="1:11" ht="18" customHeight="1" x14ac:dyDescent="0.2">
      <c r="A65" s="160"/>
      <c r="B65" s="136"/>
      <c r="C65" s="136"/>
      <c r="D65" s="136"/>
      <c r="E65" s="136"/>
      <c r="F65" s="136"/>
      <c r="G65" s="136"/>
      <c r="H65" s="136"/>
      <c r="I65" s="136"/>
      <c r="J65" s="136"/>
      <c r="K65" s="136"/>
    </row>
    <row r="66" spans="1:11" ht="18" customHeight="1" x14ac:dyDescent="0.2">
      <c r="A66" s="160" t="s">
        <v>155</v>
      </c>
      <c r="B66" s="136"/>
      <c r="C66" s="136"/>
      <c r="D66" s="136"/>
      <c r="E66" s="136"/>
      <c r="F66" s="136"/>
      <c r="G66" s="136"/>
      <c r="H66" s="136"/>
      <c r="I66" s="136"/>
      <c r="J66" s="136"/>
      <c r="K66" s="136"/>
    </row>
    <row r="67" spans="1:11" ht="18" customHeight="1" x14ac:dyDescent="0.2">
      <c r="A67" s="160" t="s">
        <v>154</v>
      </c>
      <c r="B67" s="136"/>
      <c r="C67" s="136"/>
      <c r="D67" s="136"/>
      <c r="E67" s="136"/>
      <c r="F67" s="136"/>
      <c r="G67" s="136"/>
      <c r="H67" s="136"/>
      <c r="I67" s="136"/>
      <c r="J67" s="136"/>
      <c r="K67" s="136"/>
    </row>
    <row r="68" spans="1:11" ht="18" customHeight="1" x14ac:dyDescent="0.2">
      <c r="A68" s="160"/>
      <c r="B68" s="136"/>
      <c r="C68" s="136"/>
      <c r="D68" s="136"/>
      <c r="E68" s="136"/>
      <c r="F68" s="136"/>
      <c r="G68" s="136"/>
      <c r="H68" s="136"/>
      <c r="I68" s="136"/>
      <c r="J68" s="136"/>
      <c r="K68" s="136"/>
    </row>
    <row r="69" spans="1:11" ht="18" customHeight="1" x14ac:dyDescent="0.2">
      <c r="A69" s="160" t="s">
        <v>153</v>
      </c>
      <c r="B69" s="136"/>
      <c r="C69" s="136"/>
      <c r="D69" s="136"/>
      <c r="E69" s="136"/>
      <c r="F69" s="136"/>
      <c r="G69" s="136"/>
      <c r="H69" s="136"/>
      <c r="I69" s="136"/>
      <c r="J69" s="136"/>
      <c r="K69" s="136"/>
    </row>
    <row r="70" spans="1:11" ht="18" customHeight="1" x14ac:dyDescent="0.2">
      <c r="A70" s="160" t="s">
        <v>152</v>
      </c>
      <c r="B70" s="136"/>
      <c r="C70" s="136"/>
      <c r="D70" s="136"/>
      <c r="E70" s="136"/>
      <c r="F70" s="136"/>
      <c r="G70" s="136"/>
      <c r="H70" s="136"/>
      <c r="I70" s="136"/>
      <c r="J70" s="136"/>
      <c r="K70" s="136"/>
    </row>
    <row r="71" spans="1:11" ht="18" customHeight="1" x14ac:dyDescent="0.2">
      <c r="A71" s="160" t="s">
        <v>151</v>
      </c>
      <c r="B71" s="136"/>
      <c r="C71" s="136"/>
      <c r="D71" s="136"/>
      <c r="E71" s="136"/>
      <c r="F71" s="136"/>
      <c r="G71" s="136"/>
      <c r="H71" s="136"/>
      <c r="I71" s="136"/>
      <c r="J71" s="136"/>
      <c r="K71" s="136"/>
    </row>
    <row r="72" spans="1:11" ht="18" customHeight="1" x14ac:dyDescent="0.2">
      <c r="A72" s="160" t="s">
        <v>150</v>
      </c>
      <c r="B72" s="136"/>
      <c r="C72" s="136"/>
      <c r="D72" s="136"/>
      <c r="E72" s="136"/>
      <c r="F72" s="136"/>
      <c r="G72" s="136"/>
      <c r="H72" s="136"/>
      <c r="I72" s="136"/>
      <c r="J72" s="136"/>
      <c r="K72" s="136"/>
    </row>
    <row r="73" spans="1:11" ht="18" customHeight="1" x14ac:dyDescent="0.2">
      <c r="A73" s="160" t="s">
        <v>149</v>
      </c>
      <c r="B73" s="136"/>
      <c r="C73" s="136"/>
      <c r="D73" s="136"/>
      <c r="E73" s="136"/>
      <c r="F73" s="136"/>
      <c r="G73" s="136"/>
      <c r="H73" s="136"/>
      <c r="I73" s="136"/>
      <c r="J73" s="136"/>
      <c r="K73" s="136"/>
    </row>
    <row r="74" spans="1:11" ht="18" customHeight="1" x14ac:dyDescent="0.2">
      <c r="A74" s="160" t="s">
        <v>148</v>
      </c>
      <c r="B74" s="136"/>
      <c r="C74" s="136"/>
      <c r="D74" s="136"/>
      <c r="E74" s="136"/>
      <c r="F74" s="136"/>
      <c r="G74" s="136"/>
      <c r="H74" s="136"/>
      <c r="I74" s="136"/>
      <c r="J74" s="136"/>
      <c r="K74" s="136"/>
    </row>
  </sheetData>
  <mergeCells count="51">
    <mergeCell ref="A1:L1"/>
    <mergeCell ref="A19:E19"/>
    <mergeCell ref="G32:K32"/>
    <mergeCell ref="A63:K63"/>
    <mergeCell ref="H23:I23"/>
    <mergeCell ref="A50:K51"/>
    <mergeCell ref="B26:C26"/>
    <mergeCell ref="H26:I26"/>
    <mergeCell ref="G4:K4"/>
    <mergeCell ref="B24:C24"/>
    <mergeCell ref="A74:K74"/>
    <mergeCell ref="B29:C29"/>
    <mergeCell ref="A52:K53"/>
    <mergeCell ref="A55:K55"/>
    <mergeCell ref="A68:K68"/>
    <mergeCell ref="A57:K57"/>
    <mergeCell ref="A71:K71"/>
    <mergeCell ref="A32:E32"/>
    <mergeCell ref="A62:K62"/>
    <mergeCell ref="A72:K72"/>
    <mergeCell ref="A67:K67"/>
    <mergeCell ref="A66:K66"/>
    <mergeCell ref="A2:L2"/>
    <mergeCell ref="B21:C21"/>
    <mergeCell ref="H21:I21"/>
    <mergeCell ref="H25:I25"/>
    <mergeCell ref="A69:K69"/>
    <mergeCell ref="A65:K65"/>
    <mergeCell ref="A56:K56"/>
    <mergeCell ref="A4:E4"/>
    <mergeCell ref="H24:I24"/>
    <mergeCell ref="B20:C20"/>
    <mergeCell ref="B23:C23"/>
    <mergeCell ref="G19:K19"/>
    <mergeCell ref="B28:C28"/>
    <mergeCell ref="H22:I22"/>
    <mergeCell ref="H28:I28"/>
    <mergeCell ref="H27:I27"/>
    <mergeCell ref="A58:K58"/>
    <mergeCell ref="H20:I20"/>
    <mergeCell ref="B25:C25"/>
    <mergeCell ref="B22:C22"/>
    <mergeCell ref="B27:C27"/>
    <mergeCell ref="H29:I29"/>
    <mergeCell ref="A64:K64"/>
    <mergeCell ref="A59:K59"/>
    <mergeCell ref="A73:K73"/>
    <mergeCell ref="A49:K49"/>
    <mergeCell ref="A60:K60"/>
    <mergeCell ref="A70:K70"/>
    <mergeCell ref="A61:K61"/>
  </mergeCells>
  <pageMargins left="0.75" right="0.75" top="1" bottom="1" header="0.5" footer="0.5"/>
  <pageSetup paperSize="8"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75792-DA43-3740-92BD-FE1782AA942F}">
  <sheetPr>
    <tabColor rgb="FF0070C0"/>
    <pageSetUpPr fitToPage="1"/>
  </sheetPr>
  <dimension ref="A1:L51"/>
  <sheetViews>
    <sheetView showGridLines="0" zoomScale="130" zoomScaleNormal="130" workbookViewId="0">
      <selection activeCell="D22" sqref="D22"/>
    </sheetView>
  </sheetViews>
  <sheetFormatPr baseColWidth="10" defaultColWidth="8.83203125" defaultRowHeight="15" x14ac:dyDescent="0.2"/>
  <cols>
    <col min="1" max="2" width="15" style="31" customWidth="1"/>
    <col min="3" max="4" width="12" style="31" customWidth="1"/>
    <col min="5" max="5" width="14" style="31" customWidth="1"/>
    <col min="6" max="6" width="12" style="31" customWidth="1"/>
    <col min="7" max="7" width="3" style="31" customWidth="1"/>
    <col min="8" max="8" width="25" style="31" customWidth="1"/>
    <col min="9" max="9" width="18" style="31" customWidth="1"/>
    <col min="10" max="12" width="17" style="31" customWidth="1"/>
    <col min="13" max="16384" width="8.83203125" style="31"/>
  </cols>
  <sheetData>
    <row r="1" spans="1:12" ht="32" customHeight="1" x14ac:dyDescent="0.2">
      <c r="A1" s="146" t="s">
        <v>214</v>
      </c>
      <c r="B1" s="183"/>
      <c r="C1" s="183"/>
      <c r="D1" s="183"/>
      <c r="E1" s="183"/>
      <c r="F1" s="183"/>
      <c r="G1" s="183"/>
      <c r="H1" s="183"/>
      <c r="I1" s="183"/>
      <c r="J1" s="183"/>
      <c r="K1" s="183"/>
      <c r="L1" s="183"/>
    </row>
    <row r="2" spans="1:12" x14ac:dyDescent="0.2">
      <c r="A2" s="175" t="s">
        <v>213</v>
      </c>
      <c r="B2" s="176"/>
      <c r="C2" s="176"/>
      <c r="D2" s="176"/>
      <c r="E2" s="176"/>
      <c r="F2" s="176"/>
      <c r="G2" s="176"/>
      <c r="H2" s="176"/>
      <c r="I2" s="176"/>
      <c r="J2" s="176"/>
      <c r="K2" s="176"/>
      <c r="L2" s="176"/>
    </row>
    <row r="4" spans="1:12" ht="24" customHeight="1" x14ac:dyDescent="0.2">
      <c r="A4" s="137" t="s">
        <v>212</v>
      </c>
      <c r="B4" s="138"/>
      <c r="C4" s="138"/>
      <c r="D4" s="138"/>
      <c r="E4" s="138"/>
      <c r="F4" s="138"/>
      <c r="H4" s="137" t="s">
        <v>211</v>
      </c>
      <c r="I4" s="138"/>
      <c r="J4" s="138"/>
      <c r="K4" s="138"/>
      <c r="L4" s="138"/>
    </row>
    <row r="5" spans="1:12" ht="17" thickBot="1" x14ac:dyDescent="0.25">
      <c r="A5" s="68" t="s">
        <v>2</v>
      </c>
      <c r="B5" s="68" t="s">
        <v>3</v>
      </c>
      <c r="C5" s="68" t="s">
        <v>4</v>
      </c>
      <c r="D5" s="68" t="s">
        <v>5</v>
      </c>
      <c r="E5" s="68" t="s">
        <v>59</v>
      </c>
      <c r="F5" s="68" t="s">
        <v>60</v>
      </c>
      <c r="H5" s="184" t="s">
        <v>210</v>
      </c>
      <c r="I5" s="176"/>
      <c r="J5" s="176"/>
      <c r="K5" s="176"/>
      <c r="L5" s="176"/>
    </row>
    <row r="6" spans="1:12" x14ac:dyDescent="0.2">
      <c r="A6" s="69">
        <v>2.1</v>
      </c>
      <c r="B6" s="69">
        <v>2.1800000000000002</v>
      </c>
      <c r="C6" s="77"/>
      <c r="D6" s="77"/>
      <c r="E6" s="78"/>
      <c r="F6" s="78"/>
      <c r="H6" s="176"/>
      <c r="I6" s="176"/>
      <c r="J6" s="176"/>
      <c r="K6" s="176"/>
      <c r="L6" s="176"/>
    </row>
    <row r="7" spans="1:12" x14ac:dyDescent="0.2">
      <c r="A7" s="70">
        <v>2.4</v>
      </c>
      <c r="B7" s="70">
        <v>2.06</v>
      </c>
      <c r="C7" s="77"/>
      <c r="D7" s="77"/>
      <c r="E7" s="78"/>
      <c r="F7" s="78"/>
    </row>
    <row r="8" spans="1:12" ht="18" customHeight="1" x14ac:dyDescent="0.2">
      <c r="A8" s="76">
        <v>2.5</v>
      </c>
      <c r="B8" s="76">
        <v>2.54</v>
      </c>
      <c r="C8" s="77"/>
      <c r="D8" s="77"/>
      <c r="E8" s="78"/>
      <c r="F8" s="78"/>
      <c r="H8" s="137" t="s">
        <v>219</v>
      </c>
      <c r="I8" s="138"/>
      <c r="J8" s="138"/>
      <c r="K8" s="138"/>
      <c r="L8" s="138"/>
    </row>
    <row r="9" spans="1:12" x14ac:dyDescent="0.2">
      <c r="A9" s="70">
        <v>3.2</v>
      </c>
      <c r="B9" s="70">
        <v>2.61</v>
      </c>
      <c r="C9" s="77"/>
      <c r="D9" s="77"/>
      <c r="E9" s="78"/>
      <c r="F9" s="78"/>
    </row>
    <row r="10" spans="1:12" x14ac:dyDescent="0.2">
      <c r="A10" s="69">
        <v>3.6</v>
      </c>
      <c r="B10" s="69">
        <v>3.67</v>
      </c>
      <c r="C10" s="77"/>
      <c r="D10" s="77"/>
      <c r="E10" s="78"/>
      <c r="F10" s="78"/>
    </row>
    <row r="11" spans="1:12" x14ac:dyDescent="0.2">
      <c r="A11" s="70">
        <v>3.8</v>
      </c>
      <c r="B11" s="70">
        <v>3.25</v>
      </c>
      <c r="C11" s="77"/>
      <c r="D11" s="77"/>
      <c r="E11" s="78"/>
      <c r="F11" s="78"/>
    </row>
    <row r="12" spans="1:12" x14ac:dyDescent="0.2">
      <c r="A12" s="69">
        <v>4.0999999999999996</v>
      </c>
      <c r="B12" s="69">
        <v>4.0199999999999996</v>
      </c>
      <c r="C12" s="77"/>
      <c r="D12" s="77"/>
      <c r="E12" s="78"/>
      <c r="F12" s="78"/>
    </row>
    <row r="13" spans="1:12" x14ac:dyDescent="0.2">
      <c r="A13" s="70">
        <v>4.2</v>
      </c>
      <c r="B13" s="70">
        <v>3.71</v>
      </c>
      <c r="C13" s="77"/>
      <c r="D13" s="77"/>
      <c r="E13" s="78"/>
      <c r="F13" s="78"/>
    </row>
    <row r="14" spans="1:12" x14ac:dyDescent="0.2">
      <c r="A14" s="69">
        <v>4.5</v>
      </c>
      <c r="B14" s="69">
        <v>4.38</v>
      </c>
      <c r="C14" s="77"/>
      <c r="D14" s="77"/>
      <c r="E14" s="78"/>
      <c r="F14" s="78"/>
    </row>
    <row r="15" spans="1:12" ht="17" customHeight="1" thickBot="1" x14ac:dyDescent="0.25">
      <c r="A15" s="70">
        <v>5</v>
      </c>
      <c r="B15" s="70">
        <v>4.45</v>
      </c>
      <c r="C15" s="77"/>
      <c r="D15" s="77"/>
      <c r="E15" s="78"/>
      <c r="F15" s="78"/>
    </row>
    <row r="16" spans="1:12" ht="16" thickBot="1" x14ac:dyDescent="0.25">
      <c r="A16" s="75" t="s">
        <v>61</v>
      </c>
      <c r="B16" s="75"/>
      <c r="C16" s="75"/>
      <c r="D16" s="75"/>
      <c r="E16" s="81"/>
      <c r="F16" s="81"/>
      <c r="H16" s="79"/>
      <c r="I16" s="177"/>
      <c r="J16" s="178"/>
      <c r="K16" s="178"/>
      <c r="L16" s="178"/>
    </row>
    <row r="17" spans="1:12" x14ac:dyDescent="0.2">
      <c r="H17" s="79"/>
      <c r="I17" s="177"/>
      <c r="J17" s="178"/>
      <c r="K17" s="178"/>
      <c r="L17" s="178"/>
    </row>
    <row r="18" spans="1:12" x14ac:dyDescent="0.2">
      <c r="A18" s="173" t="s">
        <v>217</v>
      </c>
      <c r="B18" s="174"/>
      <c r="C18" s="174"/>
      <c r="D18" s="174"/>
      <c r="E18" s="174"/>
      <c r="F18" s="84"/>
      <c r="H18" s="79"/>
      <c r="I18" s="177"/>
      <c r="J18" s="178"/>
      <c r="K18" s="178"/>
      <c r="L18" s="178"/>
    </row>
    <row r="19" spans="1:12" x14ac:dyDescent="0.2">
      <c r="A19" s="181" t="s">
        <v>209</v>
      </c>
      <c r="B19" s="182"/>
      <c r="C19" s="182"/>
      <c r="D19" s="72"/>
      <c r="E19" s="72"/>
      <c r="F19" s="72"/>
      <c r="H19" s="79"/>
      <c r="I19" s="177"/>
      <c r="J19" s="178"/>
      <c r="K19" s="178"/>
      <c r="L19" s="178"/>
    </row>
    <row r="20" spans="1:12" x14ac:dyDescent="0.2">
      <c r="A20" s="181" t="s">
        <v>208</v>
      </c>
      <c r="B20" s="182"/>
      <c r="C20" s="182"/>
      <c r="D20" s="72"/>
      <c r="E20" s="72"/>
      <c r="F20" s="72"/>
      <c r="H20" s="79"/>
      <c r="I20" s="177"/>
      <c r="J20" s="178"/>
      <c r="K20" s="178"/>
      <c r="L20" s="178"/>
    </row>
    <row r="21" spans="1:12" x14ac:dyDescent="0.2">
      <c r="A21" s="179" t="s">
        <v>207</v>
      </c>
      <c r="B21" s="180"/>
      <c r="C21" s="180"/>
      <c r="D21" s="82"/>
      <c r="E21" s="72"/>
      <c r="F21" s="72"/>
      <c r="H21" s="79"/>
      <c r="I21" s="80"/>
      <c r="J21" s="62"/>
      <c r="K21" s="62"/>
      <c r="L21" s="62"/>
    </row>
    <row r="22" spans="1:12" x14ac:dyDescent="0.2">
      <c r="A22" s="179" t="s">
        <v>206</v>
      </c>
      <c r="B22" s="180"/>
      <c r="C22" s="180"/>
      <c r="D22" s="83"/>
      <c r="E22" s="65"/>
      <c r="F22" s="65"/>
      <c r="G22" s="65"/>
      <c r="H22" s="79"/>
      <c r="I22" s="80"/>
      <c r="J22" s="62"/>
      <c r="K22" s="62"/>
      <c r="L22" s="62"/>
    </row>
    <row r="23" spans="1:12" x14ac:dyDescent="0.2">
      <c r="H23" s="79"/>
      <c r="I23" s="80"/>
      <c r="J23" s="62"/>
      <c r="K23" s="62"/>
      <c r="L23" s="62"/>
    </row>
    <row r="24" spans="1:12" x14ac:dyDescent="0.2">
      <c r="A24" s="173" t="s">
        <v>218</v>
      </c>
      <c r="B24" s="174"/>
      <c r="C24" s="174"/>
      <c r="D24" s="174"/>
      <c r="E24" s="174"/>
      <c r="F24" s="84"/>
      <c r="H24" s="79"/>
      <c r="I24" s="80"/>
      <c r="J24" s="62"/>
      <c r="K24" s="62"/>
      <c r="L24" s="62"/>
    </row>
    <row r="25" spans="1:12" x14ac:dyDescent="0.2">
      <c r="A25" s="66" t="s">
        <v>4</v>
      </c>
      <c r="B25" s="170" t="s">
        <v>215</v>
      </c>
      <c r="C25" s="171"/>
      <c r="D25" s="171"/>
      <c r="E25" s="171"/>
      <c r="F25" s="72"/>
      <c r="H25" s="79"/>
      <c r="I25" s="80"/>
      <c r="J25" s="62"/>
      <c r="K25" s="62"/>
      <c r="L25" s="62"/>
    </row>
    <row r="26" spans="1:12" x14ac:dyDescent="0.2">
      <c r="A26" s="66" t="s">
        <v>5</v>
      </c>
      <c r="B26" s="170" t="s">
        <v>215</v>
      </c>
      <c r="C26" s="171"/>
      <c r="D26" s="171"/>
      <c r="E26" s="171"/>
      <c r="F26" s="72"/>
      <c r="H26" s="79"/>
      <c r="I26" s="80"/>
      <c r="J26" s="62"/>
      <c r="K26" s="62"/>
      <c r="L26" s="62"/>
    </row>
    <row r="27" spans="1:12" x14ac:dyDescent="0.2">
      <c r="A27" s="66" t="s">
        <v>205</v>
      </c>
      <c r="B27" s="170" t="s">
        <v>216</v>
      </c>
      <c r="C27" s="171"/>
      <c r="D27" s="171"/>
      <c r="E27" s="171"/>
      <c r="F27" s="72"/>
      <c r="H27" s="79"/>
      <c r="I27" s="80"/>
      <c r="J27" s="62"/>
      <c r="K27" s="62"/>
      <c r="L27" s="62"/>
    </row>
    <row r="28" spans="1:12" s="62" customFormat="1" x14ac:dyDescent="0.2">
      <c r="A28" s="79"/>
      <c r="B28" s="80"/>
      <c r="H28" s="79"/>
      <c r="I28" s="80"/>
    </row>
    <row r="29" spans="1:12" ht="24" customHeight="1" x14ac:dyDescent="0.2">
      <c r="A29" s="137" t="s">
        <v>106</v>
      </c>
      <c r="B29" s="138"/>
      <c r="C29" s="138"/>
      <c r="D29" s="138"/>
      <c r="E29" s="138"/>
      <c r="F29" s="138"/>
      <c r="G29" s="138"/>
      <c r="H29" s="138"/>
      <c r="I29" s="138"/>
      <c r="J29" s="138"/>
      <c r="K29" s="138"/>
      <c r="L29" s="138"/>
    </row>
    <row r="30" spans="1:12" ht="32" customHeight="1" x14ac:dyDescent="0.2">
      <c r="A30" s="169" t="s">
        <v>204</v>
      </c>
      <c r="B30" s="136"/>
      <c r="C30" s="136"/>
      <c r="D30" s="136"/>
      <c r="E30" s="136"/>
      <c r="F30" s="136"/>
      <c r="G30" s="136"/>
      <c r="H30" s="136"/>
      <c r="I30" s="136"/>
      <c r="J30" s="136"/>
      <c r="K30" s="136"/>
      <c r="L30" s="136"/>
    </row>
    <row r="31" spans="1:12" ht="24" customHeight="1" x14ac:dyDescent="0.2">
      <c r="A31" s="136"/>
      <c r="B31" s="136"/>
      <c r="C31" s="136"/>
      <c r="D31" s="136"/>
      <c r="E31" s="136"/>
      <c r="F31" s="136"/>
      <c r="G31" s="136"/>
      <c r="H31" s="136"/>
      <c r="I31" s="136"/>
      <c r="J31" s="136"/>
      <c r="K31" s="136"/>
      <c r="L31" s="136"/>
    </row>
    <row r="33" spans="1:12" ht="24" customHeight="1" x14ac:dyDescent="0.2">
      <c r="A33" s="137" t="s">
        <v>136</v>
      </c>
      <c r="B33" s="138"/>
      <c r="C33" s="138"/>
      <c r="D33" s="138"/>
      <c r="E33" s="138"/>
      <c r="F33" s="138"/>
      <c r="G33" s="138"/>
      <c r="H33" s="138"/>
      <c r="I33" s="138"/>
      <c r="J33" s="138"/>
      <c r="K33" s="138"/>
      <c r="L33" s="138"/>
    </row>
    <row r="34" spans="1:12" ht="18" customHeight="1" x14ac:dyDescent="0.2">
      <c r="A34" s="172" t="s">
        <v>203</v>
      </c>
      <c r="B34" s="136"/>
      <c r="C34" s="136"/>
      <c r="D34" s="136"/>
      <c r="E34" s="136"/>
      <c r="F34" s="136"/>
      <c r="G34" s="136"/>
      <c r="H34" s="136"/>
      <c r="I34" s="136"/>
      <c r="J34" s="136"/>
      <c r="K34" s="136"/>
      <c r="L34" s="136"/>
    </row>
    <row r="35" spans="1:12" ht="18" customHeight="1" x14ac:dyDescent="0.2">
      <c r="A35" s="172" t="s">
        <v>202</v>
      </c>
      <c r="B35" s="136"/>
      <c r="C35" s="136"/>
      <c r="D35" s="136"/>
      <c r="E35" s="136"/>
      <c r="F35" s="136"/>
      <c r="G35" s="136"/>
      <c r="H35" s="136"/>
      <c r="I35" s="136"/>
      <c r="J35" s="136"/>
      <c r="K35" s="136"/>
      <c r="L35" s="136"/>
    </row>
    <row r="36" spans="1:12" ht="18" customHeight="1" x14ac:dyDescent="0.2">
      <c r="A36" s="172"/>
      <c r="B36" s="136"/>
      <c r="C36" s="136"/>
      <c r="D36" s="136"/>
      <c r="E36" s="136"/>
      <c r="F36" s="136"/>
      <c r="G36" s="136"/>
      <c r="H36" s="136"/>
      <c r="I36" s="136"/>
      <c r="J36" s="136"/>
      <c r="K36" s="136"/>
      <c r="L36" s="136"/>
    </row>
    <row r="37" spans="1:12" ht="18" customHeight="1" x14ac:dyDescent="0.2">
      <c r="A37" s="172" t="s">
        <v>201</v>
      </c>
      <c r="B37" s="136"/>
      <c r="C37" s="136"/>
      <c r="D37" s="136"/>
      <c r="E37" s="136"/>
      <c r="F37" s="136"/>
      <c r="G37" s="136"/>
      <c r="H37" s="136"/>
      <c r="I37" s="136"/>
      <c r="J37" s="136"/>
      <c r="K37" s="136"/>
      <c r="L37" s="136"/>
    </row>
    <row r="38" spans="1:12" ht="18" customHeight="1" x14ac:dyDescent="0.2">
      <c r="A38" s="172" t="s">
        <v>200</v>
      </c>
      <c r="B38" s="136"/>
      <c r="C38" s="136"/>
      <c r="D38" s="136"/>
      <c r="E38" s="136"/>
      <c r="F38" s="136"/>
      <c r="G38" s="136"/>
      <c r="H38" s="136"/>
      <c r="I38" s="136"/>
      <c r="J38" s="136"/>
      <c r="K38" s="136"/>
      <c r="L38" s="136"/>
    </row>
    <row r="39" spans="1:12" ht="18" customHeight="1" x14ac:dyDescent="0.2">
      <c r="A39" s="172" t="s">
        <v>199</v>
      </c>
      <c r="B39" s="136"/>
      <c r="C39" s="136"/>
      <c r="D39" s="136"/>
      <c r="E39" s="136"/>
      <c r="F39" s="136"/>
      <c r="G39" s="136"/>
      <c r="H39" s="136"/>
      <c r="I39" s="136"/>
      <c r="J39" s="136"/>
      <c r="K39" s="136"/>
      <c r="L39" s="136"/>
    </row>
    <row r="40" spans="1:12" ht="18" customHeight="1" x14ac:dyDescent="0.2">
      <c r="A40" s="172"/>
      <c r="B40" s="136"/>
      <c r="C40" s="136"/>
      <c r="D40" s="136"/>
      <c r="E40" s="136"/>
      <c r="F40" s="136"/>
      <c r="G40" s="136"/>
      <c r="H40" s="136"/>
      <c r="I40" s="136"/>
      <c r="J40" s="136"/>
      <c r="K40" s="136"/>
      <c r="L40" s="136"/>
    </row>
    <row r="41" spans="1:12" ht="18" customHeight="1" x14ac:dyDescent="0.2">
      <c r="A41" s="172" t="s">
        <v>198</v>
      </c>
      <c r="B41" s="136"/>
      <c r="C41" s="136"/>
      <c r="D41" s="136"/>
      <c r="E41" s="136"/>
      <c r="F41" s="136"/>
      <c r="G41" s="136"/>
      <c r="H41" s="136"/>
      <c r="I41" s="136"/>
      <c r="J41" s="136"/>
      <c r="K41" s="136"/>
      <c r="L41" s="136"/>
    </row>
    <row r="42" spans="1:12" ht="18" customHeight="1" x14ac:dyDescent="0.2">
      <c r="A42" s="172" t="s">
        <v>197</v>
      </c>
      <c r="B42" s="136"/>
      <c r="C42" s="136"/>
      <c r="D42" s="136"/>
      <c r="E42" s="136"/>
      <c r="F42" s="136"/>
      <c r="G42" s="136"/>
      <c r="H42" s="136"/>
      <c r="I42" s="136"/>
      <c r="J42" s="136"/>
      <c r="K42" s="136"/>
      <c r="L42" s="136"/>
    </row>
    <row r="43" spans="1:12" ht="18" customHeight="1" x14ac:dyDescent="0.2">
      <c r="A43" s="172" t="s">
        <v>196</v>
      </c>
      <c r="B43" s="136"/>
      <c r="C43" s="136"/>
      <c r="D43" s="136"/>
      <c r="E43" s="136"/>
      <c r="F43" s="136"/>
      <c r="G43" s="136"/>
      <c r="H43" s="136"/>
      <c r="I43" s="136"/>
      <c r="J43" s="136"/>
      <c r="K43" s="136"/>
      <c r="L43" s="136"/>
    </row>
    <row r="44" spans="1:12" ht="18" customHeight="1" x14ac:dyDescent="0.2">
      <c r="A44" s="172" t="s">
        <v>195</v>
      </c>
      <c r="B44" s="136"/>
      <c r="C44" s="136"/>
      <c r="D44" s="136"/>
      <c r="E44" s="136"/>
      <c r="F44" s="136"/>
      <c r="G44" s="136"/>
      <c r="H44" s="136"/>
      <c r="I44" s="136"/>
      <c r="J44" s="136"/>
      <c r="K44" s="136"/>
      <c r="L44" s="136"/>
    </row>
    <row r="45" spans="1:12" ht="18" customHeight="1" x14ac:dyDescent="0.2">
      <c r="A45" s="172" t="s">
        <v>194</v>
      </c>
      <c r="B45" s="136"/>
      <c r="C45" s="136"/>
      <c r="D45" s="136"/>
      <c r="E45" s="136"/>
      <c r="F45" s="136"/>
      <c r="G45" s="136"/>
      <c r="H45" s="136"/>
      <c r="I45" s="136"/>
      <c r="J45" s="136"/>
      <c r="K45" s="136"/>
      <c r="L45" s="136"/>
    </row>
    <row r="46" spans="1:12" ht="18" customHeight="1" x14ac:dyDescent="0.2">
      <c r="A46" s="172" t="s">
        <v>193</v>
      </c>
      <c r="B46" s="136"/>
      <c r="C46" s="136"/>
      <c r="D46" s="136"/>
      <c r="E46" s="136"/>
      <c r="F46" s="136"/>
      <c r="G46" s="136"/>
      <c r="H46" s="136"/>
      <c r="I46" s="136"/>
      <c r="J46" s="136"/>
      <c r="K46" s="136"/>
      <c r="L46" s="136"/>
    </row>
    <row r="47" spans="1:12" ht="18" customHeight="1" x14ac:dyDescent="0.2">
      <c r="A47" s="172" t="s">
        <v>192</v>
      </c>
      <c r="B47" s="136"/>
      <c r="C47" s="136"/>
      <c r="D47" s="136"/>
      <c r="E47" s="136"/>
      <c r="F47" s="136"/>
      <c r="G47" s="136"/>
      <c r="H47" s="136"/>
      <c r="I47" s="136"/>
      <c r="J47" s="136"/>
      <c r="K47" s="136"/>
      <c r="L47" s="136"/>
    </row>
    <row r="48" spans="1:12" ht="18" customHeight="1" x14ac:dyDescent="0.2">
      <c r="A48" s="172"/>
      <c r="B48" s="136"/>
      <c r="C48" s="136"/>
      <c r="D48" s="136"/>
      <c r="E48" s="136"/>
      <c r="F48" s="136"/>
      <c r="G48" s="136"/>
      <c r="H48" s="136"/>
      <c r="I48" s="136"/>
      <c r="J48" s="136"/>
      <c r="K48" s="136"/>
      <c r="L48" s="136"/>
    </row>
    <row r="49" spans="1:12" ht="18" customHeight="1" x14ac:dyDescent="0.2">
      <c r="A49" s="172" t="s">
        <v>191</v>
      </c>
      <c r="B49" s="136"/>
      <c r="C49" s="136"/>
      <c r="D49" s="136"/>
      <c r="E49" s="136"/>
      <c r="F49" s="136"/>
      <c r="G49" s="136"/>
      <c r="H49" s="136"/>
      <c r="I49" s="136"/>
      <c r="J49" s="136"/>
      <c r="K49" s="136"/>
      <c r="L49" s="136"/>
    </row>
    <row r="50" spans="1:12" ht="18" customHeight="1" x14ac:dyDescent="0.2">
      <c r="A50" s="172" t="s">
        <v>190</v>
      </c>
      <c r="B50" s="136"/>
      <c r="C50" s="136"/>
      <c r="D50" s="136"/>
      <c r="E50" s="136"/>
      <c r="F50" s="136"/>
      <c r="G50" s="136"/>
      <c r="H50" s="136"/>
      <c r="I50" s="136"/>
      <c r="J50" s="136"/>
      <c r="K50" s="136"/>
      <c r="L50" s="136"/>
    </row>
    <row r="51" spans="1:12" ht="18" customHeight="1" x14ac:dyDescent="0.2">
      <c r="A51" s="172" t="s">
        <v>189</v>
      </c>
      <c r="B51" s="136"/>
      <c r="C51" s="136"/>
      <c r="D51" s="136"/>
      <c r="E51" s="136"/>
      <c r="F51" s="136"/>
      <c r="G51" s="136"/>
      <c r="H51" s="136"/>
      <c r="I51" s="136"/>
      <c r="J51" s="136"/>
      <c r="K51" s="136"/>
      <c r="L51" s="136"/>
    </row>
  </sheetData>
  <mergeCells count="41">
    <mergeCell ref="A1:L1"/>
    <mergeCell ref="A44:L44"/>
    <mergeCell ref="A19:C19"/>
    <mergeCell ref="A30:L31"/>
    <mergeCell ref="A18:E18"/>
    <mergeCell ref="A4:F4"/>
    <mergeCell ref="H5:L6"/>
    <mergeCell ref="A37:L37"/>
    <mergeCell ref="A51:L51"/>
    <mergeCell ref="A36:L36"/>
    <mergeCell ref="A39:L39"/>
    <mergeCell ref="I16:L16"/>
    <mergeCell ref="A48:L48"/>
    <mergeCell ref="A47:L47"/>
    <mergeCell ref="A42:L42"/>
    <mergeCell ref="A35:L35"/>
    <mergeCell ref="A33:L33"/>
    <mergeCell ref="A38:L38"/>
    <mergeCell ref="A20:C20"/>
    <mergeCell ref="I18:L18"/>
    <mergeCell ref="A40:L40"/>
    <mergeCell ref="A22:C22"/>
    <mergeCell ref="A43:L43"/>
    <mergeCell ref="A46:L46"/>
    <mergeCell ref="A2:L2"/>
    <mergeCell ref="I20:L20"/>
    <mergeCell ref="I19:L19"/>
    <mergeCell ref="A21:C21"/>
    <mergeCell ref="I17:L17"/>
    <mergeCell ref="H8:L8"/>
    <mergeCell ref="A24:E24"/>
    <mergeCell ref="B25:E25"/>
    <mergeCell ref="B26:E26"/>
    <mergeCell ref="H4:L4"/>
    <mergeCell ref="A29:L29"/>
    <mergeCell ref="B27:E27"/>
    <mergeCell ref="A49:L49"/>
    <mergeCell ref="A45:L45"/>
    <mergeCell ref="A50:L50"/>
    <mergeCell ref="A41:L41"/>
    <mergeCell ref="A34:L34"/>
  </mergeCells>
  <pageMargins left="0.25" right="0.25" top="0.4" bottom="0.4" header="0.5" footer="0.5"/>
  <pageSetup paperSize="8"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AA4BA-7BEB-B341-823A-986574AB75D0}">
  <sheetPr>
    <tabColor rgb="FF0070C0"/>
    <pageSetUpPr fitToPage="1"/>
  </sheetPr>
  <dimension ref="A1:L51"/>
  <sheetViews>
    <sheetView showGridLines="0" zoomScale="130" zoomScaleNormal="130" workbookViewId="0">
      <selection activeCell="D19" sqref="D19:D22"/>
    </sheetView>
  </sheetViews>
  <sheetFormatPr baseColWidth="10" defaultColWidth="8.83203125" defaultRowHeight="15" x14ac:dyDescent="0.2"/>
  <cols>
    <col min="1" max="2" width="15" style="31" customWidth="1"/>
    <col min="3" max="4" width="12" style="31" customWidth="1"/>
    <col min="5" max="5" width="14" style="31" customWidth="1"/>
    <col min="6" max="6" width="12" style="31" customWidth="1"/>
    <col min="7" max="7" width="3" style="31" customWidth="1"/>
    <col min="8" max="8" width="25" style="31" customWidth="1"/>
    <col min="9" max="9" width="18" style="31" customWidth="1"/>
    <col min="10" max="12" width="17" style="31" customWidth="1"/>
    <col min="13" max="16384" width="8.83203125" style="31"/>
  </cols>
  <sheetData>
    <row r="1" spans="1:12" ht="32" customHeight="1" x14ac:dyDescent="0.2">
      <c r="A1" s="146" t="s">
        <v>214</v>
      </c>
      <c r="B1" s="183"/>
      <c r="C1" s="183"/>
      <c r="D1" s="183"/>
      <c r="E1" s="183"/>
      <c r="F1" s="183"/>
      <c r="G1" s="183"/>
      <c r="H1" s="183"/>
      <c r="I1" s="183"/>
      <c r="J1" s="183"/>
      <c r="K1" s="183"/>
      <c r="L1" s="183"/>
    </row>
    <row r="2" spans="1:12" x14ac:dyDescent="0.2">
      <c r="A2" s="175" t="s">
        <v>213</v>
      </c>
      <c r="B2" s="176"/>
      <c r="C2" s="176"/>
      <c r="D2" s="176"/>
      <c r="E2" s="176"/>
      <c r="F2" s="176"/>
      <c r="G2" s="176"/>
      <c r="H2" s="176"/>
      <c r="I2" s="176"/>
      <c r="J2" s="176"/>
      <c r="K2" s="176"/>
      <c r="L2" s="176"/>
    </row>
    <row r="4" spans="1:12" ht="24" customHeight="1" x14ac:dyDescent="0.2">
      <c r="A4" s="137" t="s">
        <v>212</v>
      </c>
      <c r="B4" s="138"/>
      <c r="C4" s="138"/>
      <c r="D4" s="138"/>
      <c r="E4" s="138"/>
      <c r="F4" s="138"/>
      <c r="H4" s="137" t="s">
        <v>211</v>
      </c>
      <c r="I4" s="138"/>
      <c r="J4" s="138"/>
      <c r="K4" s="138"/>
      <c r="L4" s="138"/>
    </row>
    <row r="5" spans="1:12" ht="17" thickBot="1" x14ac:dyDescent="0.25">
      <c r="A5" s="68" t="s">
        <v>1</v>
      </c>
      <c r="B5" s="68" t="s">
        <v>34</v>
      </c>
      <c r="C5" s="68" t="s">
        <v>4</v>
      </c>
      <c r="D5" s="68" t="s">
        <v>5</v>
      </c>
      <c r="E5" s="68" t="s">
        <v>59</v>
      </c>
      <c r="F5" s="68" t="s">
        <v>60</v>
      </c>
      <c r="H5" s="184" t="s">
        <v>210</v>
      </c>
      <c r="I5" s="176"/>
      <c r="J5" s="176"/>
      <c r="K5" s="176"/>
      <c r="L5" s="176"/>
    </row>
    <row r="6" spans="1:12" x14ac:dyDescent="0.2">
      <c r="A6" s="69">
        <v>0.1</v>
      </c>
      <c r="B6" s="69">
        <v>2.8</v>
      </c>
      <c r="C6" s="77"/>
      <c r="D6" s="77"/>
      <c r="E6" s="78"/>
      <c r="F6" s="78"/>
      <c r="H6" s="176"/>
      <c r="I6" s="176"/>
      <c r="J6" s="176"/>
      <c r="K6" s="176"/>
      <c r="L6" s="176"/>
    </row>
    <row r="7" spans="1:12" x14ac:dyDescent="0.2">
      <c r="A7" s="70">
        <v>0.4</v>
      </c>
      <c r="B7" s="70">
        <v>3.4</v>
      </c>
      <c r="C7" s="77"/>
      <c r="D7" s="77"/>
      <c r="E7" s="78"/>
      <c r="F7" s="78"/>
    </row>
    <row r="8" spans="1:12" ht="18" customHeight="1" x14ac:dyDescent="0.2">
      <c r="A8" s="76">
        <v>0.5</v>
      </c>
      <c r="B8" s="76">
        <v>3.5</v>
      </c>
      <c r="C8" s="77"/>
      <c r="D8" s="77"/>
      <c r="E8" s="78"/>
      <c r="F8" s="78"/>
      <c r="H8" s="137" t="s">
        <v>219</v>
      </c>
      <c r="I8" s="138"/>
      <c r="J8" s="138"/>
      <c r="K8" s="138"/>
      <c r="L8" s="138"/>
    </row>
    <row r="9" spans="1:12" x14ac:dyDescent="0.2">
      <c r="A9" s="70">
        <v>0.8</v>
      </c>
      <c r="B9" s="70">
        <v>3.6</v>
      </c>
      <c r="C9" s="77"/>
      <c r="D9" s="77"/>
      <c r="E9" s="78"/>
      <c r="F9" s="78"/>
    </row>
    <row r="10" spans="1:12" x14ac:dyDescent="0.2">
      <c r="A10" s="69">
        <v>1</v>
      </c>
      <c r="B10" s="69">
        <v>4.5999999999999996</v>
      </c>
      <c r="C10" s="77"/>
      <c r="D10" s="77"/>
      <c r="E10" s="78"/>
      <c r="F10" s="78"/>
    </row>
    <row r="11" spans="1:12" x14ac:dyDescent="0.2">
      <c r="A11" s="70">
        <v>1.8</v>
      </c>
      <c r="B11" s="70">
        <v>6.3</v>
      </c>
      <c r="C11" s="77"/>
      <c r="D11" s="77"/>
      <c r="E11" s="78"/>
      <c r="F11" s="78"/>
    </row>
    <row r="12" spans="1:12" x14ac:dyDescent="0.2">
      <c r="A12" s="69">
        <v>2</v>
      </c>
      <c r="B12" s="69">
        <v>10.199999999999999</v>
      </c>
      <c r="C12" s="77"/>
      <c r="D12" s="77"/>
      <c r="E12" s="78"/>
      <c r="F12" s="78"/>
    </row>
    <row r="13" spans="1:12" x14ac:dyDescent="0.2">
      <c r="A13" s="70">
        <v>2.5</v>
      </c>
      <c r="B13" s="70">
        <v>19.7</v>
      </c>
      <c r="C13" s="77"/>
      <c r="D13" s="77"/>
      <c r="E13" s="78"/>
      <c r="F13" s="78"/>
    </row>
    <row r="14" spans="1:12" x14ac:dyDescent="0.2">
      <c r="A14" s="69">
        <v>2.8</v>
      </c>
      <c r="B14" s="69">
        <v>31.3</v>
      </c>
      <c r="C14" s="77"/>
      <c r="D14" s="77"/>
      <c r="E14" s="78"/>
      <c r="F14" s="78"/>
    </row>
    <row r="15" spans="1:12" ht="17" customHeight="1" thickBot="1" x14ac:dyDescent="0.25">
      <c r="A15" s="70">
        <v>3</v>
      </c>
      <c r="B15" s="70">
        <v>42.9</v>
      </c>
      <c r="C15" s="77"/>
      <c r="D15" s="77"/>
      <c r="E15" s="78"/>
      <c r="F15" s="78"/>
    </row>
    <row r="16" spans="1:12" ht="16" thickBot="1" x14ac:dyDescent="0.25">
      <c r="A16" s="75" t="s">
        <v>61</v>
      </c>
      <c r="B16" s="75"/>
      <c r="C16" s="75"/>
      <c r="D16" s="75"/>
      <c r="E16" s="81"/>
      <c r="F16" s="81"/>
      <c r="H16" s="79"/>
      <c r="I16" s="177"/>
      <c r="J16" s="178"/>
      <c r="K16" s="178"/>
      <c r="L16" s="178"/>
    </row>
    <row r="17" spans="1:12" x14ac:dyDescent="0.2">
      <c r="H17" s="79"/>
      <c r="I17" s="177"/>
      <c r="J17" s="178"/>
      <c r="K17" s="178"/>
      <c r="L17" s="178"/>
    </row>
    <row r="18" spans="1:12" x14ac:dyDescent="0.2">
      <c r="A18" s="173" t="s">
        <v>217</v>
      </c>
      <c r="B18" s="174"/>
      <c r="C18" s="174"/>
      <c r="D18" s="174"/>
      <c r="E18" s="174"/>
      <c r="F18" s="84"/>
      <c r="H18" s="79"/>
      <c r="I18" s="177"/>
      <c r="J18" s="178"/>
      <c r="K18" s="178"/>
      <c r="L18" s="178"/>
    </row>
    <row r="19" spans="1:12" x14ac:dyDescent="0.2">
      <c r="A19" s="181" t="s">
        <v>209</v>
      </c>
      <c r="B19" s="182"/>
      <c r="C19" s="182"/>
      <c r="D19" s="72"/>
      <c r="E19" s="72"/>
      <c r="F19" s="72"/>
      <c r="H19" s="79"/>
      <c r="I19" s="177"/>
      <c r="J19" s="178"/>
      <c r="K19" s="178"/>
      <c r="L19" s="178"/>
    </row>
    <row r="20" spans="1:12" x14ac:dyDescent="0.2">
      <c r="A20" s="181" t="s">
        <v>208</v>
      </c>
      <c r="B20" s="182"/>
      <c r="C20" s="182"/>
      <c r="D20" s="72"/>
      <c r="E20" s="72"/>
      <c r="F20" s="72"/>
      <c r="H20" s="79"/>
      <c r="I20" s="177"/>
      <c r="J20" s="178"/>
      <c r="K20" s="178"/>
      <c r="L20" s="178"/>
    </row>
    <row r="21" spans="1:12" x14ac:dyDescent="0.2">
      <c r="A21" s="179" t="s">
        <v>207</v>
      </c>
      <c r="B21" s="180"/>
      <c r="C21" s="180"/>
      <c r="D21" s="82"/>
      <c r="E21" s="72"/>
      <c r="F21" s="72"/>
      <c r="H21" s="79"/>
      <c r="I21" s="80"/>
      <c r="J21" s="62"/>
      <c r="K21" s="62"/>
      <c r="L21" s="62"/>
    </row>
    <row r="22" spans="1:12" x14ac:dyDescent="0.2">
      <c r="A22" s="179" t="s">
        <v>206</v>
      </c>
      <c r="B22" s="180"/>
      <c r="C22" s="180"/>
      <c r="D22" s="83"/>
      <c r="E22" s="65"/>
      <c r="F22" s="65"/>
      <c r="G22" s="65"/>
      <c r="H22" s="79"/>
      <c r="I22" s="80"/>
      <c r="J22" s="62"/>
      <c r="K22" s="62"/>
      <c r="L22" s="62"/>
    </row>
    <row r="23" spans="1:12" x14ac:dyDescent="0.2">
      <c r="H23" s="79"/>
      <c r="I23" s="80"/>
      <c r="J23" s="62"/>
      <c r="K23" s="62"/>
      <c r="L23" s="62"/>
    </row>
    <row r="24" spans="1:12" x14ac:dyDescent="0.2">
      <c r="A24" s="173" t="s">
        <v>218</v>
      </c>
      <c r="B24" s="174"/>
      <c r="C24" s="174"/>
      <c r="D24" s="174"/>
      <c r="E24" s="174"/>
      <c r="F24" s="84"/>
      <c r="H24" s="79"/>
      <c r="I24" s="80"/>
      <c r="J24" s="62"/>
      <c r="K24" s="62"/>
      <c r="L24" s="62"/>
    </row>
    <row r="25" spans="1:12" x14ac:dyDescent="0.2">
      <c r="A25" s="66" t="s">
        <v>4</v>
      </c>
      <c r="B25" s="170" t="s">
        <v>215</v>
      </c>
      <c r="C25" s="171"/>
      <c r="D25" s="171"/>
      <c r="E25" s="171"/>
      <c r="F25" s="72"/>
      <c r="H25" s="79"/>
      <c r="I25" s="80"/>
      <c r="J25" s="62"/>
      <c r="K25" s="62"/>
      <c r="L25" s="62"/>
    </row>
    <row r="26" spans="1:12" x14ac:dyDescent="0.2">
      <c r="A26" s="66" t="s">
        <v>5</v>
      </c>
      <c r="B26" s="170" t="s">
        <v>215</v>
      </c>
      <c r="C26" s="171"/>
      <c r="D26" s="171"/>
      <c r="E26" s="171"/>
      <c r="F26" s="72"/>
      <c r="H26" s="79"/>
      <c r="I26" s="80"/>
      <c r="J26" s="62"/>
      <c r="K26" s="62"/>
      <c r="L26" s="62"/>
    </row>
    <row r="27" spans="1:12" x14ac:dyDescent="0.2">
      <c r="A27" s="66" t="s">
        <v>205</v>
      </c>
      <c r="B27" s="170" t="s">
        <v>216</v>
      </c>
      <c r="C27" s="171"/>
      <c r="D27" s="171"/>
      <c r="E27" s="171"/>
      <c r="F27" s="72"/>
      <c r="H27" s="79"/>
      <c r="I27" s="80"/>
      <c r="J27" s="62"/>
      <c r="K27" s="62"/>
      <c r="L27" s="62"/>
    </row>
    <row r="28" spans="1:12" s="62" customFormat="1" x14ac:dyDescent="0.2">
      <c r="A28" s="79"/>
      <c r="B28" s="80"/>
      <c r="H28" s="79"/>
      <c r="I28" s="80"/>
    </row>
    <row r="29" spans="1:12" ht="24" customHeight="1" x14ac:dyDescent="0.2">
      <c r="A29" s="137" t="s">
        <v>106</v>
      </c>
      <c r="B29" s="138"/>
      <c r="C29" s="138"/>
      <c r="D29" s="138"/>
      <c r="E29" s="138"/>
      <c r="F29" s="138"/>
      <c r="G29" s="138"/>
      <c r="H29" s="138"/>
      <c r="I29" s="138"/>
      <c r="J29" s="138"/>
      <c r="K29" s="138"/>
      <c r="L29" s="138"/>
    </row>
    <row r="30" spans="1:12" ht="32" customHeight="1" x14ac:dyDescent="0.2">
      <c r="A30" s="169" t="s">
        <v>204</v>
      </c>
      <c r="B30" s="136"/>
      <c r="C30" s="136"/>
      <c r="D30" s="136"/>
      <c r="E30" s="136"/>
      <c r="F30" s="136"/>
      <c r="G30" s="136"/>
      <c r="H30" s="136"/>
      <c r="I30" s="136"/>
      <c r="J30" s="136"/>
      <c r="K30" s="136"/>
      <c r="L30" s="136"/>
    </row>
    <row r="31" spans="1:12" ht="24" customHeight="1" x14ac:dyDescent="0.2">
      <c r="A31" s="136"/>
      <c r="B31" s="136"/>
      <c r="C31" s="136"/>
      <c r="D31" s="136"/>
      <c r="E31" s="136"/>
      <c r="F31" s="136"/>
      <c r="G31" s="136"/>
      <c r="H31" s="136"/>
      <c r="I31" s="136"/>
      <c r="J31" s="136"/>
      <c r="K31" s="136"/>
      <c r="L31" s="136"/>
    </row>
    <row r="33" spans="1:12" ht="24" customHeight="1" x14ac:dyDescent="0.2">
      <c r="A33" s="137" t="s">
        <v>136</v>
      </c>
      <c r="B33" s="138"/>
      <c r="C33" s="138"/>
      <c r="D33" s="138"/>
      <c r="E33" s="138"/>
      <c r="F33" s="138"/>
      <c r="G33" s="138"/>
      <c r="H33" s="138"/>
      <c r="I33" s="138"/>
      <c r="J33" s="138"/>
      <c r="K33" s="138"/>
      <c r="L33" s="138"/>
    </row>
    <row r="34" spans="1:12" ht="18" customHeight="1" x14ac:dyDescent="0.2">
      <c r="A34" s="172" t="s">
        <v>203</v>
      </c>
      <c r="B34" s="136"/>
      <c r="C34" s="136"/>
      <c r="D34" s="136"/>
      <c r="E34" s="136"/>
      <c r="F34" s="136"/>
      <c r="G34" s="136"/>
      <c r="H34" s="136"/>
      <c r="I34" s="136"/>
      <c r="J34" s="136"/>
      <c r="K34" s="136"/>
      <c r="L34" s="136"/>
    </row>
    <row r="35" spans="1:12" ht="18" customHeight="1" x14ac:dyDescent="0.2">
      <c r="A35" s="172" t="s">
        <v>202</v>
      </c>
      <c r="B35" s="136"/>
      <c r="C35" s="136"/>
      <c r="D35" s="136"/>
      <c r="E35" s="136"/>
      <c r="F35" s="136"/>
      <c r="G35" s="136"/>
      <c r="H35" s="136"/>
      <c r="I35" s="136"/>
      <c r="J35" s="136"/>
      <c r="K35" s="136"/>
      <c r="L35" s="136"/>
    </row>
    <row r="36" spans="1:12" ht="18" customHeight="1" x14ac:dyDescent="0.2">
      <c r="A36" s="172"/>
      <c r="B36" s="136"/>
      <c r="C36" s="136"/>
      <c r="D36" s="136"/>
      <c r="E36" s="136"/>
      <c r="F36" s="136"/>
      <c r="G36" s="136"/>
      <c r="H36" s="136"/>
      <c r="I36" s="136"/>
      <c r="J36" s="136"/>
      <c r="K36" s="136"/>
      <c r="L36" s="136"/>
    </row>
    <row r="37" spans="1:12" ht="18" customHeight="1" x14ac:dyDescent="0.2">
      <c r="A37" s="172" t="s">
        <v>201</v>
      </c>
      <c r="B37" s="136"/>
      <c r="C37" s="136"/>
      <c r="D37" s="136"/>
      <c r="E37" s="136"/>
      <c r="F37" s="136"/>
      <c r="G37" s="136"/>
      <c r="H37" s="136"/>
      <c r="I37" s="136"/>
      <c r="J37" s="136"/>
      <c r="K37" s="136"/>
      <c r="L37" s="136"/>
    </row>
    <row r="38" spans="1:12" ht="18" customHeight="1" x14ac:dyDescent="0.2">
      <c r="A38" s="172" t="s">
        <v>200</v>
      </c>
      <c r="B38" s="136"/>
      <c r="C38" s="136"/>
      <c r="D38" s="136"/>
      <c r="E38" s="136"/>
      <c r="F38" s="136"/>
      <c r="G38" s="136"/>
      <c r="H38" s="136"/>
      <c r="I38" s="136"/>
      <c r="J38" s="136"/>
      <c r="K38" s="136"/>
      <c r="L38" s="136"/>
    </row>
    <row r="39" spans="1:12" ht="18" customHeight="1" x14ac:dyDescent="0.2">
      <c r="A39" s="172" t="s">
        <v>199</v>
      </c>
      <c r="B39" s="136"/>
      <c r="C39" s="136"/>
      <c r="D39" s="136"/>
      <c r="E39" s="136"/>
      <c r="F39" s="136"/>
      <c r="G39" s="136"/>
      <c r="H39" s="136"/>
      <c r="I39" s="136"/>
      <c r="J39" s="136"/>
      <c r="K39" s="136"/>
      <c r="L39" s="136"/>
    </row>
    <row r="40" spans="1:12" ht="18" customHeight="1" x14ac:dyDescent="0.2">
      <c r="A40" s="172"/>
      <c r="B40" s="136"/>
      <c r="C40" s="136"/>
      <c r="D40" s="136"/>
      <c r="E40" s="136"/>
      <c r="F40" s="136"/>
      <c r="G40" s="136"/>
      <c r="H40" s="136"/>
      <c r="I40" s="136"/>
      <c r="J40" s="136"/>
      <c r="K40" s="136"/>
      <c r="L40" s="136"/>
    </row>
    <row r="41" spans="1:12" ht="18" customHeight="1" x14ac:dyDescent="0.2">
      <c r="A41" s="172" t="s">
        <v>198</v>
      </c>
      <c r="B41" s="136"/>
      <c r="C41" s="136"/>
      <c r="D41" s="136"/>
      <c r="E41" s="136"/>
      <c r="F41" s="136"/>
      <c r="G41" s="136"/>
      <c r="H41" s="136"/>
      <c r="I41" s="136"/>
      <c r="J41" s="136"/>
      <c r="K41" s="136"/>
      <c r="L41" s="136"/>
    </row>
    <row r="42" spans="1:12" ht="18" customHeight="1" x14ac:dyDescent="0.2">
      <c r="A42" s="172" t="s">
        <v>197</v>
      </c>
      <c r="B42" s="136"/>
      <c r="C42" s="136"/>
      <c r="D42" s="136"/>
      <c r="E42" s="136"/>
      <c r="F42" s="136"/>
      <c r="G42" s="136"/>
      <c r="H42" s="136"/>
      <c r="I42" s="136"/>
      <c r="J42" s="136"/>
      <c r="K42" s="136"/>
      <c r="L42" s="136"/>
    </row>
    <row r="43" spans="1:12" ht="18" customHeight="1" x14ac:dyDescent="0.2">
      <c r="A43" s="172" t="s">
        <v>196</v>
      </c>
      <c r="B43" s="136"/>
      <c r="C43" s="136"/>
      <c r="D43" s="136"/>
      <c r="E43" s="136"/>
      <c r="F43" s="136"/>
      <c r="G43" s="136"/>
      <c r="H43" s="136"/>
      <c r="I43" s="136"/>
      <c r="J43" s="136"/>
      <c r="K43" s="136"/>
      <c r="L43" s="136"/>
    </row>
    <row r="44" spans="1:12" ht="18" customHeight="1" x14ac:dyDescent="0.2">
      <c r="A44" s="172" t="s">
        <v>195</v>
      </c>
      <c r="B44" s="136"/>
      <c r="C44" s="136"/>
      <c r="D44" s="136"/>
      <c r="E44" s="136"/>
      <c r="F44" s="136"/>
      <c r="G44" s="136"/>
      <c r="H44" s="136"/>
      <c r="I44" s="136"/>
      <c r="J44" s="136"/>
      <c r="K44" s="136"/>
      <c r="L44" s="136"/>
    </row>
    <row r="45" spans="1:12" ht="18" customHeight="1" x14ac:dyDescent="0.2">
      <c r="A45" s="172" t="s">
        <v>194</v>
      </c>
      <c r="B45" s="136"/>
      <c r="C45" s="136"/>
      <c r="D45" s="136"/>
      <c r="E45" s="136"/>
      <c r="F45" s="136"/>
      <c r="G45" s="136"/>
      <c r="H45" s="136"/>
      <c r="I45" s="136"/>
      <c r="J45" s="136"/>
      <c r="K45" s="136"/>
      <c r="L45" s="136"/>
    </row>
    <row r="46" spans="1:12" ht="18" customHeight="1" x14ac:dyDescent="0.2">
      <c r="A46" s="172" t="s">
        <v>193</v>
      </c>
      <c r="B46" s="136"/>
      <c r="C46" s="136"/>
      <c r="D46" s="136"/>
      <c r="E46" s="136"/>
      <c r="F46" s="136"/>
      <c r="G46" s="136"/>
      <c r="H46" s="136"/>
      <c r="I46" s="136"/>
      <c r="J46" s="136"/>
      <c r="K46" s="136"/>
      <c r="L46" s="136"/>
    </row>
    <row r="47" spans="1:12" ht="18" customHeight="1" x14ac:dyDescent="0.2">
      <c r="A47" s="172" t="s">
        <v>192</v>
      </c>
      <c r="B47" s="136"/>
      <c r="C47" s="136"/>
      <c r="D47" s="136"/>
      <c r="E47" s="136"/>
      <c r="F47" s="136"/>
      <c r="G47" s="136"/>
      <c r="H47" s="136"/>
      <c r="I47" s="136"/>
      <c r="J47" s="136"/>
      <c r="K47" s="136"/>
      <c r="L47" s="136"/>
    </row>
    <row r="48" spans="1:12" ht="18" customHeight="1" x14ac:dyDescent="0.2">
      <c r="A48" s="172"/>
      <c r="B48" s="136"/>
      <c r="C48" s="136"/>
      <c r="D48" s="136"/>
      <c r="E48" s="136"/>
      <c r="F48" s="136"/>
      <c r="G48" s="136"/>
      <c r="H48" s="136"/>
      <c r="I48" s="136"/>
      <c r="J48" s="136"/>
      <c r="K48" s="136"/>
      <c r="L48" s="136"/>
    </row>
    <row r="49" spans="1:12" ht="18" customHeight="1" x14ac:dyDescent="0.2">
      <c r="A49" s="172" t="s">
        <v>191</v>
      </c>
      <c r="B49" s="136"/>
      <c r="C49" s="136"/>
      <c r="D49" s="136"/>
      <c r="E49" s="136"/>
      <c r="F49" s="136"/>
      <c r="G49" s="136"/>
      <c r="H49" s="136"/>
      <c r="I49" s="136"/>
      <c r="J49" s="136"/>
      <c r="K49" s="136"/>
      <c r="L49" s="136"/>
    </row>
    <row r="50" spans="1:12" ht="18" customHeight="1" x14ac:dyDescent="0.2">
      <c r="A50" s="172" t="s">
        <v>190</v>
      </c>
      <c r="B50" s="136"/>
      <c r="C50" s="136"/>
      <c r="D50" s="136"/>
      <c r="E50" s="136"/>
      <c r="F50" s="136"/>
      <c r="G50" s="136"/>
      <c r="H50" s="136"/>
      <c r="I50" s="136"/>
      <c r="J50" s="136"/>
      <c r="K50" s="136"/>
      <c r="L50" s="136"/>
    </row>
    <row r="51" spans="1:12" ht="18" customHeight="1" x14ac:dyDescent="0.2">
      <c r="A51" s="172" t="s">
        <v>189</v>
      </c>
      <c r="B51" s="136"/>
      <c r="C51" s="136"/>
      <c r="D51" s="136"/>
      <c r="E51" s="136"/>
      <c r="F51" s="136"/>
      <c r="G51" s="136"/>
      <c r="H51" s="136"/>
      <c r="I51" s="136"/>
      <c r="J51" s="136"/>
      <c r="K51" s="136"/>
      <c r="L51" s="136"/>
    </row>
  </sheetData>
  <mergeCells count="41">
    <mergeCell ref="H8:L8"/>
    <mergeCell ref="A1:L1"/>
    <mergeCell ref="A2:L2"/>
    <mergeCell ref="A4:F4"/>
    <mergeCell ref="H4:L4"/>
    <mergeCell ref="H5:L6"/>
    <mergeCell ref="I16:L16"/>
    <mergeCell ref="I17:L17"/>
    <mergeCell ref="A18:E18"/>
    <mergeCell ref="I18:L18"/>
    <mergeCell ref="A19:C19"/>
    <mergeCell ref="I19:L19"/>
    <mergeCell ref="A34:L34"/>
    <mergeCell ref="A20:C20"/>
    <mergeCell ref="I20:L20"/>
    <mergeCell ref="A21:C21"/>
    <mergeCell ref="A22:C22"/>
    <mergeCell ref="A24:E24"/>
    <mergeCell ref="B25:E25"/>
    <mergeCell ref="B26:E26"/>
    <mergeCell ref="B27:E27"/>
    <mergeCell ref="A29:L29"/>
    <mergeCell ref="A30:L31"/>
    <mergeCell ref="A33:L33"/>
    <mergeCell ref="A46:L46"/>
    <mergeCell ref="A35:L35"/>
    <mergeCell ref="A36:L36"/>
    <mergeCell ref="A37:L37"/>
    <mergeCell ref="A38:L38"/>
    <mergeCell ref="A39:L39"/>
    <mergeCell ref="A40:L40"/>
    <mergeCell ref="A41:L41"/>
    <mergeCell ref="A42:L42"/>
    <mergeCell ref="A43:L43"/>
    <mergeCell ref="A44:L44"/>
    <mergeCell ref="A45:L45"/>
    <mergeCell ref="A47:L47"/>
    <mergeCell ref="A48:L48"/>
    <mergeCell ref="A49:L49"/>
    <mergeCell ref="A50:L50"/>
    <mergeCell ref="A51:L51"/>
  </mergeCells>
  <pageMargins left="0.25" right="0.25" top="0.4" bottom="0.4" header="0.5" footer="0.5"/>
  <pageSetup paperSize="8"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8B6AC-6401-FB43-B235-D0ED6DF05173}">
  <sheetPr>
    <tabColor theme="8" tint="-0.249977111117893"/>
    <pageSetUpPr fitToPage="1"/>
  </sheetPr>
  <dimension ref="A1:AY77"/>
  <sheetViews>
    <sheetView showGridLines="0" zoomScale="120" zoomScaleNormal="120" workbookViewId="0">
      <pane ySplit="10" topLeftCell="A11" activePane="bottomLeft" state="frozen"/>
      <selection pane="bottomLeft" activeCell="N37" sqref="N37"/>
    </sheetView>
  </sheetViews>
  <sheetFormatPr baseColWidth="10" defaultColWidth="8.83203125" defaultRowHeight="15" x14ac:dyDescent="0.2"/>
  <cols>
    <col min="1" max="1" width="12.33203125" style="31" customWidth="1"/>
    <col min="2" max="3" width="14" style="31" customWidth="1"/>
    <col min="4" max="12" width="9" style="31" customWidth="1"/>
    <col min="13" max="13" width="4.83203125" style="31" customWidth="1"/>
    <col min="14" max="18" width="13" style="31" customWidth="1"/>
    <col min="19" max="16384" width="8.83203125" style="31"/>
  </cols>
  <sheetData>
    <row r="1" spans="1:18" ht="31" customHeight="1" x14ac:dyDescent="0.25">
      <c r="A1" s="196" t="s">
        <v>248</v>
      </c>
      <c r="B1" s="138"/>
      <c r="C1" s="138"/>
      <c r="D1" s="138"/>
      <c r="E1" s="138"/>
      <c r="F1" s="138"/>
      <c r="G1" s="138"/>
      <c r="H1" s="138"/>
      <c r="I1" s="138"/>
      <c r="J1" s="138"/>
      <c r="K1" s="138"/>
      <c r="L1" s="138"/>
      <c r="M1" s="138"/>
      <c r="N1" s="138"/>
      <c r="O1" s="138"/>
      <c r="P1" s="138"/>
      <c r="Q1" s="138"/>
      <c r="R1" s="138"/>
    </row>
    <row r="2" spans="1:18" x14ac:dyDescent="0.2">
      <c r="A2" s="175" t="s">
        <v>247</v>
      </c>
      <c r="B2" s="176"/>
      <c r="C2" s="176"/>
      <c r="D2" s="176"/>
      <c r="E2" s="176"/>
      <c r="F2" s="176"/>
      <c r="G2" s="176"/>
      <c r="H2" s="176"/>
      <c r="I2" s="176"/>
      <c r="J2" s="176"/>
      <c r="K2" s="176"/>
      <c r="L2" s="176"/>
      <c r="M2" s="176"/>
      <c r="N2" s="176"/>
      <c r="O2" s="176"/>
      <c r="P2" s="176"/>
      <c r="Q2" s="176"/>
      <c r="R2" s="176"/>
    </row>
    <row r="4" spans="1:18" ht="23" customHeight="1" x14ac:dyDescent="0.2">
      <c r="A4" s="191" t="s">
        <v>80</v>
      </c>
      <c r="B4" s="138"/>
      <c r="C4" s="138"/>
      <c r="D4" s="138"/>
      <c r="E4" s="138"/>
      <c r="F4" s="138"/>
      <c r="G4" s="138"/>
      <c r="H4" s="138"/>
      <c r="I4" s="138"/>
      <c r="J4" s="138"/>
      <c r="K4" s="138"/>
      <c r="L4" s="138"/>
      <c r="M4" s="138"/>
      <c r="N4" s="138"/>
      <c r="O4" s="138"/>
      <c r="P4" s="138"/>
      <c r="Q4" s="138"/>
      <c r="R4" s="138"/>
    </row>
    <row r="5" spans="1:18" x14ac:dyDescent="0.2">
      <c r="A5" s="130" t="s">
        <v>81</v>
      </c>
      <c r="B5" s="131"/>
      <c r="C5" s="190" t="s">
        <v>82</v>
      </c>
      <c r="D5" s="131"/>
      <c r="E5" s="131"/>
      <c r="F5" s="131"/>
      <c r="G5" s="131"/>
      <c r="H5" s="131"/>
      <c r="I5" s="131"/>
      <c r="J5" s="131"/>
      <c r="K5" s="131"/>
      <c r="L5" s="131"/>
      <c r="M5" s="131"/>
      <c r="N5" s="131"/>
      <c r="O5" s="131"/>
      <c r="P5" s="131"/>
      <c r="Q5" s="131"/>
      <c r="R5" s="131"/>
    </row>
    <row r="6" spans="1:18" x14ac:dyDescent="0.2">
      <c r="A6" s="130" t="s">
        <v>83</v>
      </c>
      <c r="B6" s="131"/>
      <c r="C6" s="190" t="s">
        <v>84</v>
      </c>
      <c r="D6" s="131"/>
      <c r="E6" s="131"/>
      <c r="F6" s="131"/>
      <c r="G6" s="131"/>
      <c r="H6" s="131"/>
      <c r="I6" s="131"/>
      <c r="J6" s="131"/>
      <c r="K6" s="131"/>
      <c r="L6" s="131"/>
      <c r="M6" s="131"/>
      <c r="N6" s="131"/>
      <c r="O6" s="131"/>
      <c r="P6" s="131"/>
      <c r="Q6" s="131"/>
      <c r="R6" s="131"/>
    </row>
    <row r="7" spans="1:18" x14ac:dyDescent="0.2">
      <c r="A7" s="130" t="s">
        <v>246</v>
      </c>
      <c r="B7" s="131"/>
      <c r="C7" s="190" t="s">
        <v>245</v>
      </c>
      <c r="D7" s="131"/>
      <c r="E7" s="131"/>
      <c r="F7" s="131"/>
      <c r="G7" s="131"/>
      <c r="H7" s="131"/>
      <c r="I7" s="131"/>
      <c r="J7" s="131"/>
      <c r="K7" s="131"/>
      <c r="L7" s="131"/>
      <c r="M7" s="131"/>
      <c r="N7" s="131"/>
      <c r="O7" s="131"/>
      <c r="P7" s="131"/>
      <c r="Q7" s="131"/>
      <c r="R7" s="131"/>
    </row>
    <row r="9" spans="1:18" ht="23" customHeight="1" x14ac:dyDescent="0.2">
      <c r="A9" s="191" t="s">
        <v>244</v>
      </c>
      <c r="B9" s="138"/>
      <c r="C9" s="138"/>
      <c r="D9" s="138"/>
      <c r="E9" s="138"/>
      <c r="F9" s="138"/>
      <c r="G9" s="138"/>
      <c r="H9" s="138"/>
      <c r="I9" s="138"/>
      <c r="J9" s="138"/>
      <c r="K9" s="138"/>
      <c r="L9" s="138"/>
      <c r="N9" s="185" t="s">
        <v>121</v>
      </c>
      <c r="O9" s="185"/>
      <c r="P9" s="185"/>
      <c r="Q9" s="185"/>
      <c r="R9" s="185"/>
    </row>
    <row r="10" spans="1:18" ht="17" thickBot="1" x14ac:dyDescent="0.25">
      <c r="A10" s="90" t="s">
        <v>40</v>
      </c>
      <c r="B10" s="90" t="s">
        <v>32</v>
      </c>
      <c r="C10" s="90" t="s">
        <v>33</v>
      </c>
      <c r="D10" s="90" t="s">
        <v>21</v>
      </c>
      <c r="E10" s="90" t="s">
        <v>22</v>
      </c>
      <c r="F10" s="90" t="s">
        <v>23</v>
      </c>
      <c r="G10" s="90" t="s">
        <v>24</v>
      </c>
      <c r="H10" s="90" t="s">
        <v>35</v>
      </c>
      <c r="I10" s="90" t="s">
        <v>36</v>
      </c>
      <c r="J10" s="90" t="s">
        <v>37</v>
      </c>
      <c r="K10" s="90" t="s">
        <v>38</v>
      </c>
      <c r="L10" s="90" t="s">
        <v>39</v>
      </c>
    </row>
    <row r="11" spans="1:18" x14ac:dyDescent="0.2">
      <c r="A11" s="89">
        <v>1</v>
      </c>
      <c r="B11" s="91">
        <v>2.1</v>
      </c>
      <c r="C11" s="91">
        <v>2.1800000000000002</v>
      </c>
    </row>
    <row r="12" spans="1:18" x14ac:dyDescent="0.2">
      <c r="A12" s="88">
        <v>2</v>
      </c>
      <c r="B12" s="91">
        <v>2.4</v>
      </c>
      <c r="C12" s="91">
        <v>2.06</v>
      </c>
      <c r="D12" s="67"/>
    </row>
    <row r="13" spans="1:18" x14ac:dyDescent="0.2">
      <c r="A13" s="89">
        <v>3</v>
      </c>
      <c r="B13" s="91">
        <v>2.5</v>
      </c>
      <c r="C13" s="91">
        <v>2.54</v>
      </c>
      <c r="D13" s="67"/>
      <c r="E13" s="67"/>
    </row>
    <row r="14" spans="1:18" x14ac:dyDescent="0.2">
      <c r="A14" s="88">
        <v>4</v>
      </c>
      <c r="B14" s="91">
        <v>3.2</v>
      </c>
      <c r="C14" s="91">
        <v>2.61</v>
      </c>
      <c r="D14" s="67"/>
      <c r="E14" s="67"/>
      <c r="F14" s="67"/>
    </row>
    <row r="15" spans="1:18" x14ac:dyDescent="0.2">
      <c r="A15" s="89">
        <v>5</v>
      </c>
      <c r="B15" s="91">
        <v>3.6</v>
      </c>
      <c r="C15" s="91">
        <v>3.67</v>
      </c>
      <c r="D15" s="67"/>
      <c r="E15" s="67"/>
      <c r="F15" s="67"/>
      <c r="G15" s="67"/>
    </row>
    <row r="16" spans="1:18" x14ac:dyDescent="0.2">
      <c r="A16" s="88">
        <v>6</v>
      </c>
      <c r="B16" s="91">
        <v>3.8</v>
      </c>
      <c r="C16" s="91">
        <v>3.25</v>
      </c>
      <c r="D16" s="67"/>
      <c r="E16" s="67"/>
      <c r="F16" s="67"/>
      <c r="G16" s="67"/>
      <c r="H16" s="67"/>
    </row>
    <row r="17" spans="1:18" x14ac:dyDescent="0.2">
      <c r="A17" s="89">
        <v>7</v>
      </c>
      <c r="B17" s="91">
        <v>4.0999999999999996</v>
      </c>
      <c r="C17" s="91">
        <v>4.0199999999999996</v>
      </c>
      <c r="D17" s="67"/>
      <c r="E17" s="67"/>
      <c r="F17" s="67"/>
      <c r="G17" s="67"/>
      <c r="H17" s="67"/>
      <c r="I17" s="67"/>
    </row>
    <row r="18" spans="1:18" x14ac:dyDescent="0.2">
      <c r="A18" s="88">
        <v>8</v>
      </c>
      <c r="B18" s="91">
        <v>4.2</v>
      </c>
      <c r="C18" s="91">
        <v>3.71</v>
      </c>
      <c r="D18" s="67"/>
      <c r="E18" s="67"/>
      <c r="F18" s="67"/>
      <c r="G18" s="67"/>
      <c r="H18" s="67"/>
      <c r="I18" s="67"/>
      <c r="J18" s="67"/>
    </row>
    <row r="19" spans="1:18" x14ac:dyDescent="0.2">
      <c r="A19" s="89">
        <v>9</v>
      </c>
      <c r="B19" s="91">
        <v>4.5</v>
      </c>
      <c r="C19" s="91">
        <v>4.38</v>
      </c>
      <c r="D19" s="67"/>
      <c r="E19" s="67"/>
      <c r="F19" s="67"/>
      <c r="G19" s="67"/>
      <c r="H19" s="67"/>
      <c r="I19" s="67"/>
      <c r="J19" s="67"/>
      <c r="K19" s="67"/>
    </row>
    <row r="20" spans="1:18" ht="16" thickBot="1" x14ac:dyDescent="0.25">
      <c r="A20" s="88">
        <v>10</v>
      </c>
      <c r="B20" s="91">
        <v>5</v>
      </c>
      <c r="C20" s="91">
        <v>4.45</v>
      </c>
      <c r="D20" s="67"/>
      <c r="E20" s="67"/>
      <c r="F20" s="67"/>
      <c r="G20" s="67"/>
      <c r="H20" s="67"/>
      <c r="I20" s="67"/>
      <c r="J20" s="67"/>
      <c r="K20" s="67"/>
      <c r="L20" s="67"/>
    </row>
    <row r="21" spans="1:18" ht="16" thickBot="1" x14ac:dyDescent="0.25">
      <c r="A21" s="75"/>
      <c r="B21" s="75"/>
      <c r="C21" s="75"/>
      <c r="D21" s="197"/>
      <c r="E21" s="198"/>
      <c r="F21" s="198"/>
      <c r="G21" s="75"/>
      <c r="H21" s="75"/>
      <c r="I21" s="75"/>
      <c r="J21" s="75"/>
      <c r="K21" s="75"/>
      <c r="L21" s="75"/>
    </row>
    <row r="23" spans="1:18" ht="23" customHeight="1" x14ac:dyDescent="0.2">
      <c r="A23" s="185" t="s">
        <v>251</v>
      </c>
      <c r="B23" s="185"/>
      <c r="C23" s="185"/>
      <c r="D23" s="185"/>
      <c r="E23" s="185"/>
      <c r="F23" s="185"/>
      <c r="G23" s="185"/>
      <c r="H23" s="185"/>
      <c r="I23" s="185"/>
      <c r="J23" s="185"/>
      <c r="K23" s="185"/>
      <c r="L23" s="185"/>
    </row>
    <row r="24" spans="1:18" x14ac:dyDescent="0.2">
      <c r="A24" s="87" t="s">
        <v>243</v>
      </c>
      <c r="B24" s="187" t="s">
        <v>242</v>
      </c>
      <c r="C24" s="187"/>
      <c r="D24" s="187"/>
      <c r="E24" s="187"/>
      <c r="F24" s="187"/>
      <c r="G24" s="187"/>
      <c r="H24" s="187"/>
      <c r="I24" s="187"/>
      <c r="J24" s="187"/>
      <c r="K24" s="187"/>
      <c r="L24" s="187"/>
    </row>
    <row r="25" spans="1:18" x14ac:dyDescent="0.2">
      <c r="A25" s="87" t="s">
        <v>241</v>
      </c>
      <c r="B25" s="187" t="s">
        <v>240</v>
      </c>
      <c r="C25" s="187"/>
      <c r="D25" s="187"/>
      <c r="E25" s="187"/>
      <c r="F25" s="187"/>
      <c r="G25" s="187"/>
      <c r="H25" s="187"/>
      <c r="I25" s="187"/>
      <c r="J25" s="187"/>
      <c r="K25" s="187"/>
      <c r="L25" s="187"/>
    </row>
    <row r="26" spans="1:18" x14ac:dyDescent="0.2">
      <c r="A26" s="87" t="s">
        <v>239</v>
      </c>
      <c r="B26" s="187" t="s">
        <v>238</v>
      </c>
      <c r="C26" s="187"/>
      <c r="D26" s="187"/>
      <c r="E26" s="187"/>
      <c r="F26" s="187"/>
      <c r="G26" s="187"/>
      <c r="H26" s="187"/>
      <c r="I26" s="187"/>
      <c r="J26" s="187"/>
      <c r="K26" s="187"/>
      <c r="L26" s="187"/>
    </row>
    <row r="27" spans="1:18" x14ac:dyDescent="0.2">
      <c r="J27" s="62"/>
      <c r="K27" s="62"/>
      <c r="L27" s="62"/>
    </row>
    <row r="28" spans="1:18" ht="23" customHeight="1" x14ac:dyDescent="0.2">
      <c r="A28" s="85" t="s">
        <v>253</v>
      </c>
      <c r="B28" s="33"/>
      <c r="C28" s="33"/>
      <c r="D28" s="33"/>
      <c r="E28" s="33"/>
      <c r="F28" s="33"/>
      <c r="G28" s="33"/>
      <c r="H28" s="84"/>
      <c r="I28" s="84"/>
      <c r="J28" s="84"/>
      <c r="K28" s="84"/>
      <c r="L28" s="84"/>
      <c r="N28" s="185" t="s">
        <v>252</v>
      </c>
      <c r="O28" s="185"/>
      <c r="P28" s="185"/>
      <c r="Q28" s="185"/>
      <c r="R28" s="185"/>
    </row>
    <row r="29" spans="1:18" ht="19" customHeight="1" x14ac:dyDescent="0.2">
      <c r="A29" s="181" t="s">
        <v>74</v>
      </c>
      <c r="B29" s="182"/>
      <c r="C29" s="182"/>
      <c r="D29" s="195"/>
      <c r="E29" s="193"/>
      <c r="F29" s="192"/>
      <c r="G29" s="193"/>
      <c r="H29" s="193"/>
      <c r="I29" s="193"/>
      <c r="J29" s="193"/>
      <c r="K29" s="193"/>
      <c r="L29" s="193"/>
      <c r="N29" s="188"/>
      <c r="O29" s="188"/>
      <c r="P29" s="188"/>
      <c r="Q29" s="188"/>
      <c r="R29" s="188"/>
    </row>
    <row r="30" spans="1:18" x14ac:dyDescent="0.2">
      <c r="A30" s="181" t="s">
        <v>256</v>
      </c>
      <c r="B30" s="182"/>
      <c r="C30" s="182"/>
      <c r="D30" s="195"/>
      <c r="E30" s="193"/>
      <c r="F30" s="94" t="s">
        <v>237</v>
      </c>
      <c r="G30" s="93"/>
      <c r="H30" s="93"/>
      <c r="I30" s="93"/>
      <c r="J30" s="93"/>
      <c r="K30" s="93"/>
      <c r="L30" s="93"/>
      <c r="N30" s="188"/>
      <c r="O30" s="188"/>
      <c r="P30" s="188"/>
      <c r="Q30" s="188"/>
      <c r="R30" s="188"/>
    </row>
    <row r="31" spans="1:18" x14ac:dyDescent="0.2">
      <c r="A31" s="181" t="s">
        <v>93</v>
      </c>
      <c r="B31" s="182"/>
      <c r="C31" s="182"/>
      <c r="D31" s="171"/>
      <c r="E31" s="182"/>
      <c r="F31" s="95" t="s">
        <v>249</v>
      </c>
      <c r="G31" s="65"/>
      <c r="H31" s="65"/>
      <c r="I31" s="65"/>
      <c r="J31" s="65"/>
      <c r="K31" s="65"/>
      <c r="L31" s="65"/>
      <c r="N31" s="188"/>
      <c r="O31" s="188"/>
      <c r="P31" s="188"/>
      <c r="Q31" s="188"/>
      <c r="R31" s="188"/>
    </row>
    <row r="32" spans="1:18" x14ac:dyDescent="0.2">
      <c r="A32" s="181" t="s">
        <v>94</v>
      </c>
      <c r="B32" s="182"/>
      <c r="C32" s="182"/>
      <c r="D32" s="171"/>
      <c r="E32" s="182"/>
      <c r="F32" s="95" t="s">
        <v>250</v>
      </c>
      <c r="G32" s="65"/>
      <c r="H32" s="65"/>
      <c r="I32" s="65"/>
      <c r="J32" s="65"/>
      <c r="K32" s="65"/>
      <c r="L32" s="65"/>
      <c r="N32" s="188"/>
      <c r="O32" s="188"/>
      <c r="P32" s="188"/>
      <c r="Q32" s="188"/>
      <c r="R32" s="188"/>
    </row>
    <row r="33" spans="1:18" x14ac:dyDescent="0.2">
      <c r="A33" s="179" t="s">
        <v>236</v>
      </c>
      <c r="B33" s="180"/>
      <c r="C33" s="180"/>
      <c r="D33" s="194"/>
      <c r="E33" s="193"/>
      <c r="F33" s="94"/>
      <c r="G33" s="93"/>
      <c r="H33" s="93"/>
      <c r="I33" s="93"/>
      <c r="J33" s="93"/>
      <c r="K33" s="93"/>
      <c r="L33" s="93"/>
      <c r="M33" s="62"/>
      <c r="N33" s="188"/>
      <c r="O33" s="188"/>
      <c r="P33" s="188"/>
      <c r="Q33" s="188"/>
      <c r="R33" s="188"/>
    </row>
    <row r="35" spans="1:18" ht="23" customHeight="1" x14ac:dyDescent="0.2">
      <c r="A35" s="185" t="s">
        <v>257</v>
      </c>
      <c r="B35" s="185"/>
      <c r="C35" s="185"/>
      <c r="D35" s="185"/>
      <c r="E35" s="185"/>
      <c r="F35" s="185"/>
      <c r="G35" s="185"/>
      <c r="H35" s="185"/>
      <c r="I35" s="185"/>
      <c r="J35" s="185"/>
      <c r="K35" s="185"/>
      <c r="L35" s="185"/>
    </row>
    <row r="36" spans="1:18" ht="15" customHeight="1" x14ac:dyDescent="0.2">
      <c r="A36" s="186" t="s">
        <v>235</v>
      </c>
      <c r="B36" s="186"/>
      <c r="C36" s="186"/>
      <c r="D36" s="186"/>
      <c r="E36" s="186"/>
      <c r="F36" s="186"/>
      <c r="G36" s="186"/>
      <c r="H36" s="186"/>
      <c r="I36" s="186"/>
      <c r="J36" s="186"/>
      <c r="K36" s="186"/>
      <c r="L36" s="186"/>
    </row>
    <row r="37" spans="1:18" x14ac:dyDescent="0.2">
      <c r="A37" s="186"/>
      <c r="B37" s="186"/>
      <c r="C37" s="186"/>
      <c r="D37" s="186"/>
      <c r="E37" s="186"/>
      <c r="F37" s="186"/>
      <c r="G37" s="186"/>
      <c r="H37" s="186"/>
      <c r="I37" s="186"/>
      <c r="J37" s="186"/>
      <c r="K37" s="186"/>
      <c r="L37" s="186"/>
    </row>
    <row r="38" spans="1:18" x14ac:dyDescent="0.2">
      <c r="A38" s="186"/>
      <c r="B38" s="186"/>
      <c r="C38" s="186"/>
      <c r="D38" s="186"/>
      <c r="E38" s="186"/>
      <c r="F38" s="186"/>
      <c r="G38" s="186"/>
      <c r="H38" s="186"/>
      <c r="I38" s="186"/>
      <c r="J38" s="186"/>
      <c r="K38" s="186"/>
      <c r="L38" s="186"/>
    </row>
    <row r="39" spans="1:18" x14ac:dyDescent="0.2">
      <c r="A39" s="186"/>
      <c r="B39" s="186"/>
      <c r="C39" s="186"/>
      <c r="D39" s="186"/>
      <c r="E39" s="186"/>
      <c r="F39" s="186"/>
      <c r="G39" s="186"/>
      <c r="H39" s="186"/>
      <c r="I39" s="186"/>
      <c r="J39" s="186"/>
      <c r="K39" s="186"/>
      <c r="L39" s="186"/>
    </row>
    <row r="40" spans="1:18" x14ac:dyDescent="0.2">
      <c r="A40" s="186"/>
      <c r="B40" s="186"/>
      <c r="C40" s="186"/>
      <c r="D40" s="186"/>
      <c r="E40" s="186"/>
      <c r="F40" s="186"/>
      <c r="G40" s="186"/>
      <c r="H40" s="186"/>
      <c r="I40" s="186"/>
      <c r="J40" s="186"/>
      <c r="K40" s="186"/>
      <c r="L40" s="186"/>
    </row>
    <row r="42" spans="1:18" ht="23" customHeight="1" x14ac:dyDescent="0.2">
      <c r="A42" s="191" t="s">
        <v>258</v>
      </c>
      <c r="B42" s="138"/>
      <c r="C42" s="138"/>
      <c r="D42" s="138"/>
      <c r="E42" s="138"/>
      <c r="F42" s="138"/>
      <c r="G42" s="138"/>
      <c r="H42" s="138"/>
      <c r="I42" s="138"/>
      <c r="J42" s="138"/>
      <c r="K42" s="138"/>
      <c r="L42" s="138"/>
      <c r="M42" s="138"/>
      <c r="N42" s="138"/>
      <c r="O42" s="138"/>
      <c r="P42" s="138"/>
      <c r="Q42" s="138"/>
      <c r="R42" s="138"/>
    </row>
    <row r="43" spans="1:18" ht="17" customHeight="1" x14ac:dyDescent="0.2">
      <c r="A43" s="189" t="s">
        <v>203</v>
      </c>
      <c r="B43" s="136"/>
      <c r="C43" s="136"/>
      <c r="D43" s="136"/>
      <c r="E43" s="136"/>
      <c r="F43" s="136"/>
      <c r="G43" s="136"/>
      <c r="H43" s="136"/>
      <c r="I43" s="136"/>
      <c r="J43" s="136"/>
      <c r="K43" s="136"/>
      <c r="L43" s="136"/>
      <c r="M43" s="136"/>
      <c r="N43" s="136"/>
      <c r="O43" s="136"/>
      <c r="P43" s="136"/>
      <c r="Q43" s="136"/>
      <c r="R43" s="136"/>
    </row>
    <row r="44" spans="1:18" ht="17" customHeight="1" x14ac:dyDescent="0.2">
      <c r="A44" s="189" t="s">
        <v>202</v>
      </c>
      <c r="B44" s="136"/>
      <c r="C44" s="136"/>
      <c r="D44" s="136"/>
      <c r="E44" s="136"/>
      <c r="F44" s="136"/>
      <c r="G44" s="136"/>
      <c r="H44" s="136"/>
      <c r="I44" s="136"/>
      <c r="J44" s="136"/>
      <c r="K44" s="136"/>
      <c r="L44" s="136"/>
      <c r="M44" s="136"/>
      <c r="N44" s="136"/>
      <c r="O44" s="136"/>
      <c r="P44" s="136"/>
      <c r="Q44" s="136"/>
      <c r="R44" s="136"/>
    </row>
    <row r="45" spans="1:18" ht="17" customHeight="1" x14ac:dyDescent="0.2">
      <c r="A45" s="189"/>
      <c r="B45" s="136"/>
      <c r="C45" s="136"/>
      <c r="D45" s="136"/>
      <c r="E45" s="136"/>
      <c r="F45" s="136"/>
      <c r="G45" s="136"/>
      <c r="H45" s="136"/>
      <c r="I45" s="136"/>
      <c r="J45" s="136"/>
      <c r="K45" s="136"/>
      <c r="L45" s="136"/>
      <c r="M45" s="136"/>
      <c r="N45" s="136"/>
      <c r="O45" s="136"/>
      <c r="P45" s="136"/>
      <c r="Q45" s="136"/>
      <c r="R45" s="136"/>
    </row>
    <row r="46" spans="1:18" ht="17" customHeight="1" x14ac:dyDescent="0.2">
      <c r="A46" s="189" t="s">
        <v>234</v>
      </c>
      <c r="B46" s="136"/>
      <c r="C46" s="136"/>
      <c r="D46" s="136"/>
      <c r="E46" s="136"/>
      <c r="F46" s="136"/>
      <c r="G46" s="136"/>
      <c r="H46" s="136"/>
      <c r="I46" s="136"/>
      <c r="J46" s="136"/>
      <c r="K46" s="136"/>
      <c r="L46" s="136"/>
      <c r="M46" s="136"/>
      <c r="N46" s="136"/>
      <c r="O46" s="136"/>
      <c r="P46" s="136"/>
      <c r="Q46" s="136"/>
      <c r="R46" s="136"/>
    </row>
    <row r="47" spans="1:18" ht="17" customHeight="1" x14ac:dyDescent="0.2">
      <c r="A47" s="189" t="s">
        <v>233</v>
      </c>
      <c r="B47" s="136"/>
      <c r="C47" s="136"/>
      <c r="D47" s="136"/>
      <c r="E47" s="136"/>
      <c r="F47" s="136"/>
      <c r="G47" s="136"/>
      <c r="H47" s="136"/>
      <c r="I47" s="136"/>
      <c r="J47" s="136"/>
      <c r="K47" s="136"/>
      <c r="L47" s="136"/>
      <c r="M47" s="136"/>
      <c r="N47" s="136"/>
      <c r="O47" s="136"/>
      <c r="P47" s="136"/>
      <c r="Q47" s="136"/>
      <c r="R47" s="136"/>
    </row>
    <row r="48" spans="1:18" ht="17" customHeight="1" x14ac:dyDescent="0.2">
      <c r="A48" s="189" t="s">
        <v>232</v>
      </c>
      <c r="B48" s="136"/>
      <c r="C48" s="136"/>
      <c r="D48" s="136"/>
      <c r="E48" s="136"/>
      <c r="F48" s="136"/>
      <c r="G48" s="136"/>
      <c r="H48" s="136"/>
      <c r="I48" s="136"/>
      <c r="J48" s="136"/>
      <c r="K48" s="136"/>
      <c r="L48" s="136"/>
      <c r="M48" s="136"/>
      <c r="N48" s="136"/>
      <c r="O48" s="136"/>
      <c r="P48" s="136"/>
      <c r="Q48" s="136"/>
      <c r="R48" s="136"/>
    </row>
    <row r="49" spans="1:18" ht="17" customHeight="1" x14ac:dyDescent="0.2">
      <c r="A49" s="189"/>
      <c r="B49" s="136"/>
      <c r="C49" s="136"/>
      <c r="D49" s="136"/>
      <c r="E49" s="136"/>
      <c r="F49" s="136"/>
      <c r="G49" s="136"/>
      <c r="H49" s="136"/>
      <c r="I49" s="136"/>
      <c r="J49" s="136"/>
      <c r="K49" s="136"/>
      <c r="L49" s="136"/>
      <c r="M49" s="136"/>
      <c r="N49" s="136"/>
      <c r="O49" s="136"/>
      <c r="P49" s="136"/>
      <c r="Q49" s="136"/>
      <c r="R49" s="136"/>
    </row>
    <row r="50" spans="1:18" ht="17" customHeight="1" x14ac:dyDescent="0.2">
      <c r="A50" s="189" t="s">
        <v>231</v>
      </c>
      <c r="B50" s="136"/>
      <c r="C50" s="136"/>
      <c r="D50" s="136"/>
      <c r="E50" s="136"/>
      <c r="F50" s="136"/>
      <c r="G50" s="136"/>
      <c r="H50" s="136"/>
      <c r="I50" s="136"/>
      <c r="J50" s="136"/>
      <c r="K50" s="136"/>
      <c r="L50" s="136"/>
      <c r="M50" s="136"/>
      <c r="N50" s="136"/>
      <c r="O50" s="136"/>
      <c r="P50" s="136"/>
      <c r="Q50" s="136"/>
      <c r="R50" s="136"/>
    </row>
    <row r="51" spans="1:18" ht="17" customHeight="1" x14ac:dyDescent="0.2">
      <c r="A51" s="189" t="s">
        <v>230</v>
      </c>
      <c r="B51" s="136"/>
      <c r="C51" s="136"/>
      <c r="D51" s="136"/>
      <c r="E51" s="136"/>
      <c r="F51" s="136"/>
      <c r="G51" s="136"/>
      <c r="H51" s="136"/>
      <c r="I51" s="136"/>
      <c r="J51" s="136"/>
      <c r="K51" s="136"/>
      <c r="L51" s="136"/>
      <c r="M51" s="136"/>
      <c r="N51" s="136"/>
      <c r="O51" s="136"/>
      <c r="P51" s="136"/>
      <c r="Q51" s="136"/>
      <c r="R51" s="136"/>
    </row>
    <row r="52" spans="1:18" ht="17" customHeight="1" x14ac:dyDescent="0.2">
      <c r="A52" s="189" t="s">
        <v>229</v>
      </c>
      <c r="B52" s="136"/>
      <c r="C52" s="136"/>
      <c r="D52" s="136"/>
      <c r="E52" s="136"/>
      <c r="F52" s="136"/>
      <c r="G52" s="136"/>
      <c r="H52" s="136"/>
      <c r="I52" s="136"/>
      <c r="J52" s="136"/>
      <c r="K52" s="136"/>
      <c r="L52" s="136"/>
      <c r="M52" s="136"/>
      <c r="N52" s="136"/>
      <c r="O52" s="136"/>
      <c r="P52" s="136"/>
      <c r="Q52" s="136"/>
      <c r="R52" s="136"/>
    </row>
    <row r="53" spans="1:18" ht="17" customHeight="1" x14ac:dyDescent="0.2">
      <c r="A53" s="189" t="s">
        <v>228</v>
      </c>
      <c r="B53" s="136"/>
      <c r="C53" s="136"/>
      <c r="D53" s="136"/>
      <c r="E53" s="136"/>
      <c r="F53" s="136"/>
      <c r="G53" s="136"/>
      <c r="H53" s="136"/>
      <c r="I53" s="136"/>
      <c r="J53" s="136"/>
      <c r="K53" s="136"/>
      <c r="L53" s="136"/>
      <c r="M53" s="136"/>
      <c r="N53" s="136"/>
      <c r="O53" s="136"/>
      <c r="P53" s="136"/>
      <c r="Q53" s="136"/>
      <c r="R53" s="136"/>
    </row>
    <row r="54" spans="1:18" ht="17" customHeight="1" x14ac:dyDescent="0.2">
      <c r="A54" s="189" t="s">
        <v>227</v>
      </c>
      <c r="B54" s="136"/>
      <c r="C54" s="136"/>
      <c r="D54" s="136"/>
      <c r="E54" s="136"/>
      <c r="F54" s="136"/>
      <c r="G54" s="136"/>
      <c r="H54" s="136"/>
      <c r="I54" s="136"/>
      <c r="J54" s="136"/>
      <c r="K54" s="136"/>
      <c r="L54" s="136"/>
      <c r="M54" s="136"/>
      <c r="N54" s="136"/>
      <c r="O54" s="136"/>
      <c r="P54" s="136"/>
      <c r="Q54" s="136"/>
      <c r="R54" s="136"/>
    </row>
    <row r="55" spans="1:18" ht="17" customHeight="1" x14ac:dyDescent="0.2">
      <c r="A55" s="189" t="s">
        <v>226</v>
      </c>
      <c r="B55" s="136"/>
      <c r="C55" s="136"/>
      <c r="D55" s="136"/>
      <c r="E55" s="136"/>
      <c r="F55" s="136"/>
      <c r="G55" s="136"/>
      <c r="H55" s="136"/>
      <c r="I55" s="136"/>
      <c r="J55" s="136"/>
      <c r="K55" s="136"/>
      <c r="L55" s="136"/>
      <c r="M55" s="136"/>
      <c r="N55" s="136"/>
      <c r="O55" s="136"/>
      <c r="P55" s="136"/>
      <c r="Q55" s="136"/>
      <c r="R55" s="136"/>
    </row>
    <row r="56" spans="1:18" ht="17" customHeight="1" x14ac:dyDescent="0.2">
      <c r="A56" s="189" t="s">
        <v>225</v>
      </c>
      <c r="B56" s="136"/>
      <c r="C56" s="136"/>
      <c r="D56" s="136"/>
      <c r="E56" s="136"/>
      <c r="F56" s="136"/>
      <c r="G56" s="136"/>
      <c r="H56" s="136"/>
      <c r="I56" s="136"/>
      <c r="J56" s="136"/>
      <c r="K56" s="136"/>
      <c r="L56" s="136"/>
      <c r="M56" s="136"/>
      <c r="N56" s="136"/>
      <c r="O56" s="136"/>
      <c r="P56" s="136"/>
      <c r="Q56" s="136"/>
      <c r="R56" s="136"/>
    </row>
    <row r="57" spans="1:18" ht="17" customHeight="1" x14ac:dyDescent="0.2">
      <c r="A57" s="189" t="s">
        <v>224</v>
      </c>
      <c r="B57" s="136"/>
      <c r="C57" s="136"/>
      <c r="D57" s="136"/>
      <c r="E57" s="136"/>
      <c r="F57" s="136"/>
      <c r="G57" s="136"/>
      <c r="H57" s="136"/>
      <c r="I57" s="136"/>
      <c r="J57" s="136"/>
      <c r="K57" s="136"/>
      <c r="L57" s="136"/>
      <c r="M57" s="136"/>
      <c r="N57" s="136"/>
      <c r="O57" s="136"/>
      <c r="P57" s="136"/>
      <c r="Q57" s="136"/>
      <c r="R57" s="136"/>
    </row>
    <row r="58" spans="1:18" ht="17" customHeight="1" x14ac:dyDescent="0.2">
      <c r="A58" s="189" t="s">
        <v>223</v>
      </c>
      <c r="B58" s="136"/>
      <c r="C58" s="136"/>
      <c r="D58" s="136"/>
      <c r="E58" s="136"/>
      <c r="F58" s="136"/>
      <c r="G58" s="136"/>
      <c r="H58" s="136"/>
      <c r="I58" s="136"/>
      <c r="J58" s="136"/>
      <c r="K58" s="136"/>
      <c r="L58" s="136"/>
      <c r="M58" s="136"/>
      <c r="N58" s="136"/>
      <c r="O58" s="136"/>
      <c r="P58" s="136"/>
      <c r="Q58" s="136"/>
      <c r="R58" s="136"/>
    </row>
    <row r="59" spans="1:18" ht="17" customHeight="1" x14ac:dyDescent="0.2">
      <c r="A59" s="189" t="s">
        <v>222</v>
      </c>
      <c r="B59" s="136"/>
      <c r="C59" s="136"/>
      <c r="D59" s="136"/>
      <c r="E59" s="136"/>
      <c r="F59" s="136"/>
      <c r="G59" s="136"/>
      <c r="H59" s="136"/>
      <c r="I59" s="136"/>
      <c r="J59" s="136"/>
      <c r="K59" s="136"/>
      <c r="L59" s="136"/>
      <c r="M59" s="136"/>
      <c r="N59" s="136"/>
      <c r="O59" s="136"/>
      <c r="P59" s="136"/>
      <c r="Q59" s="136"/>
      <c r="R59" s="136"/>
    </row>
    <row r="60" spans="1:18" ht="17" customHeight="1" x14ac:dyDescent="0.2">
      <c r="A60" s="189" t="s">
        <v>221</v>
      </c>
      <c r="B60" s="136"/>
      <c r="C60" s="136"/>
      <c r="D60" s="136"/>
      <c r="E60" s="136"/>
      <c r="F60" s="136"/>
      <c r="G60" s="136"/>
      <c r="H60" s="136"/>
      <c r="I60" s="136"/>
      <c r="J60" s="136"/>
      <c r="K60" s="136"/>
      <c r="L60" s="136"/>
      <c r="M60" s="136"/>
      <c r="N60" s="136"/>
      <c r="O60" s="136"/>
      <c r="P60" s="136"/>
      <c r="Q60" s="136"/>
      <c r="R60" s="136"/>
    </row>
    <row r="61" spans="1:18" ht="17" customHeight="1" x14ac:dyDescent="0.2">
      <c r="A61" s="189"/>
      <c r="B61" s="136"/>
      <c r="C61" s="136"/>
      <c r="D61" s="136"/>
      <c r="E61" s="136"/>
      <c r="F61" s="136"/>
      <c r="G61" s="136"/>
      <c r="H61" s="136"/>
      <c r="I61" s="136"/>
      <c r="J61" s="136"/>
      <c r="K61" s="136"/>
      <c r="L61" s="136"/>
      <c r="M61" s="136"/>
      <c r="N61" s="136"/>
      <c r="O61" s="136"/>
      <c r="P61" s="136"/>
      <c r="Q61" s="136"/>
      <c r="R61" s="136"/>
    </row>
    <row r="62" spans="1:18" ht="17" customHeight="1" x14ac:dyDescent="0.2">
      <c r="A62" s="189" t="s">
        <v>191</v>
      </c>
      <c r="B62" s="136"/>
      <c r="C62" s="136"/>
      <c r="D62" s="136"/>
      <c r="E62" s="136"/>
      <c r="F62" s="136"/>
      <c r="G62" s="136"/>
      <c r="H62" s="136"/>
      <c r="I62" s="136"/>
      <c r="J62" s="136"/>
      <c r="K62" s="136"/>
      <c r="L62" s="136"/>
      <c r="M62" s="136"/>
      <c r="N62" s="136"/>
      <c r="O62" s="136"/>
      <c r="P62" s="136"/>
      <c r="Q62" s="136"/>
      <c r="R62" s="136"/>
    </row>
    <row r="63" spans="1:18" ht="17" customHeight="1" x14ac:dyDescent="0.2">
      <c r="A63" s="189" t="s">
        <v>220</v>
      </c>
      <c r="B63" s="136"/>
      <c r="C63" s="136"/>
      <c r="D63" s="136"/>
      <c r="E63" s="136"/>
      <c r="F63" s="136"/>
      <c r="G63" s="136"/>
      <c r="H63" s="136"/>
      <c r="I63" s="136"/>
      <c r="J63" s="136"/>
      <c r="K63" s="136"/>
      <c r="L63" s="136"/>
      <c r="M63" s="136"/>
      <c r="N63" s="136"/>
      <c r="O63" s="136"/>
      <c r="P63" s="136"/>
      <c r="Q63" s="136"/>
      <c r="R63" s="136"/>
    </row>
    <row r="65" spans="1:51" customFormat="1" ht="25" hidden="1" customHeight="1" x14ac:dyDescent="0.2">
      <c r="A65" s="113" t="s">
        <v>259</v>
      </c>
      <c r="B65" s="114"/>
      <c r="C65" s="114"/>
      <c r="D65" s="114"/>
      <c r="E65" s="114"/>
      <c r="F65" s="114"/>
      <c r="G65" s="114"/>
      <c r="H65" s="114"/>
      <c r="I65" s="114"/>
      <c r="J65" s="1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row>
    <row r="66" spans="1:51" customFormat="1" ht="35" hidden="1" customHeight="1" x14ac:dyDescent="0.2">
      <c r="A66" s="121" t="s">
        <v>87</v>
      </c>
      <c r="B66" s="114"/>
      <c r="C66" s="114"/>
      <c r="D66" s="114"/>
      <c r="E66" s="114"/>
      <c r="F66" s="114"/>
      <c r="G66" s="114"/>
      <c r="H66" s="114"/>
      <c r="I66" s="114"/>
      <c r="J66" s="1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row>
    <row r="67" spans="1:51" customFormat="1" ht="16" hidden="1" x14ac:dyDescent="0.2">
      <c r="A67" s="114"/>
      <c r="B67" s="114"/>
      <c r="C67" s="114"/>
      <c r="D67" s="114"/>
      <c r="E67" s="114"/>
      <c r="F67" s="114"/>
      <c r="G67" s="114"/>
      <c r="H67" s="114"/>
      <c r="I67" s="114"/>
      <c r="J67" s="1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row>
    <row r="68" spans="1:51" customFormat="1" ht="32" hidden="1" x14ac:dyDescent="0.2">
      <c r="A68" s="11" t="s">
        <v>40</v>
      </c>
      <c r="B68" s="11" t="s">
        <v>41</v>
      </c>
      <c r="C68" s="11" t="s">
        <v>42</v>
      </c>
      <c r="D68" s="11" t="s">
        <v>88</v>
      </c>
      <c r="E68" s="11" t="s">
        <v>89</v>
      </c>
      <c r="F68" s="11" t="s">
        <v>90</v>
      </c>
      <c r="G68" s="11" t="s">
        <v>91</v>
      </c>
      <c r="H68" s="11"/>
      <c r="I68" s="11"/>
      <c r="J68" s="11"/>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row>
    <row r="69" spans="1:51" customFormat="1" ht="16" hidden="1" x14ac:dyDescent="0.2">
      <c r="A69" s="5">
        <v>1</v>
      </c>
      <c r="B69" s="5">
        <v>10</v>
      </c>
      <c r="C69" s="5">
        <v>100</v>
      </c>
      <c r="D69" s="5">
        <f>SUMPRODUCT(--($B$57:$B70&gt;B69),--($C$57:$C70&gt;C69))</f>
        <v>2</v>
      </c>
      <c r="E69" s="5">
        <f>SUMPRODUCT(--($B$57:$B70&gt;B69),--($C$57:$C70&lt;C69))</f>
        <v>0</v>
      </c>
      <c r="F69" s="5">
        <f>COUNTIF($B$57:$B70,B69)</f>
        <v>1</v>
      </c>
      <c r="G69" s="5">
        <f>COUNTIF($C$57:$C70,C69)</f>
        <v>1</v>
      </c>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row>
    <row r="70" spans="1:51" customFormat="1" ht="16" hidden="1" x14ac:dyDescent="0.2">
      <c r="A70" s="5">
        <v>2</v>
      </c>
      <c r="B70" s="5">
        <v>20</v>
      </c>
      <c r="C70" s="5">
        <v>200</v>
      </c>
      <c r="D70" s="5">
        <f>SUMPRODUCT(--($B$57:$B71&gt;B70),--($C$57:$C71&gt;C70))</f>
        <v>1</v>
      </c>
      <c r="E70" s="5">
        <f>SUMPRODUCT(--($B$57:$B71&gt;B70),--($C$57:$C71&lt;C70))</f>
        <v>0</v>
      </c>
      <c r="F70" s="5">
        <f>COUNTIF($B$57:$B71,B70)</f>
        <v>2</v>
      </c>
      <c r="G70" s="5">
        <f>COUNTIF($C$57:$C71,C70)</f>
        <v>1</v>
      </c>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row>
    <row r="71" spans="1:51" customFormat="1" ht="16" hidden="1" x14ac:dyDescent="0.2">
      <c r="A71" s="5">
        <v>3</v>
      </c>
      <c r="B71" s="5">
        <v>20</v>
      </c>
      <c r="C71" s="5">
        <v>300</v>
      </c>
      <c r="D71" s="5">
        <f>SUMPRODUCT(--($B$57:$B72&gt;B71),--($C$57:$C72&gt;C71))</f>
        <v>1</v>
      </c>
      <c r="E71" s="5">
        <f>SUMPRODUCT(--($B$57:$B72&gt;B71),--($C$57:$C72&lt;C71))</f>
        <v>0</v>
      </c>
      <c r="F71" s="5">
        <f>COUNTIF($B$57:$B72,B71)</f>
        <v>2</v>
      </c>
      <c r="G71" s="5">
        <f>COUNTIF($C$57:$C72,C71)</f>
        <v>2</v>
      </c>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row>
    <row r="72" spans="1:51" customFormat="1" ht="16" hidden="1" x14ac:dyDescent="0.2">
      <c r="A72" s="5">
        <v>4</v>
      </c>
      <c r="B72" s="5">
        <v>30</v>
      </c>
      <c r="C72" s="5">
        <v>300</v>
      </c>
      <c r="D72" s="5">
        <f>SUMPRODUCT(--($B$57:$B73&gt;B72),--($C$57:$C73&gt;C72))</f>
        <v>2</v>
      </c>
      <c r="E72" s="5">
        <f>SUMPRODUCT(--($B$57:$B73&gt;B72),--($C$57:$C73&lt;C72))</f>
        <v>0</v>
      </c>
      <c r="F72" s="5">
        <f>COUNTIF($B$57:$B73,B72)</f>
        <v>1</v>
      </c>
      <c r="G72" s="5">
        <f>COUNTIF($C$57:$C73,C72)</f>
        <v>2</v>
      </c>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row>
    <row r="73" spans="1:51" customFormat="1" ht="16" hidden="1" x14ac:dyDescent="0.2">
      <c r="A73" s="5">
        <v>5</v>
      </c>
      <c r="B73" s="5">
        <v>40</v>
      </c>
      <c r="C73" s="5">
        <v>400</v>
      </c>
      <c r="D73" s="5">
        <f>SUMPRODUCT(--($B$57:$B74&gt;B73),--($C$57:$C74&gt;C73))</f>
        <v>2</v>
      </c>
      <c r="E73" s="5">
        <f>SUMPRODUCT(--($B$57:$B74&gt;B73),--($C$57:$C74&lt;C73))</f>
        <v>0</v>
      </c>
      <c r="F73" s="5">
        <f>COUNTIF($B$57:$B74,B73)</f>
        <v>1</v>
      </c>
      <c r="G73" s="5">
        <f>COUNTIF($C$57:$C74,C73)</f>
        <v>1</v>
      </c>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row>
    <row r="74" spans="1:51" customFormat="1" ht="17" hidden="1" thickBot="1" x14ac:dyDescent="0.25">
      <c r="A74" s="5">
        <v>6</v>
      </c>
      <c r="B74" s="5">
        <v>50</v>
      </c>
      <c r="C74" s="5">
        <v>500</v>
      </c>
      <c r="D74" s="5">
        <v>0</v>
      </c>
      <c r="E74" s="5">
        <v>0</v>
      </c>
      <c r="F74" s="5">
        <v>0</v>
      </c>
      <c r="G74" s="5">
        <v>0</v>
      </c>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row>
    <row r="75" spans="1:51" customFormat="1" ht="16" hidden="1" x14ac:dyDescent="0.2">
      <c r="A75" s="6" t="s">
        <v>61</v>
      </c>
      <c r="B75" s="7"/>
      <c r="C75" s="7"/>
      <c r="D75" s="8">
        <f>SUM(D69:D74)</f>
        <v>8</v>
      </c>
      <c r="E75" s="8">
        <f>SUM(E69:E74)</f>
        <v>0</v>
      </c>
      <c r="F75" s="8">
        <f t="shared" ref="F75:G75" si="0">SUM(F69:F74)</f>
        <v>7</v>
      </c>
      <c r="G75" s="8">
        <f t="shared" si="0"/>
        <v>7</v>
      </c>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row>
    <row r="76" spans="1:51" s="14" customFormat="1" ht="32" hidden="1" customHeight="1" x14ac:dyDescent="0.2">
      <c r="A76" s="25" t="s">
        <v>92</v>
      </c>
      <c r="B76" s="111" t="s">
        <v>109</v>
      </c>
      <c r="C76" s="112"/>
      <c r="D76" s="112"/>
      <c r="E76" s="112"/>
      <c r="F76" s="112"/>
      <c r="G76" s="112"/>
    </row>
    <row r="77" spans="1:51" hidden="1" x14ac:dyDescent="0.2"/>
  </sheetData>
  <mergeCells count="56">
    <mergeCell ref="A1:R1"/>
    <mergeCell ref="A45:R45"/>
    <mergeCell ref="D21:F21"/>
    <mergeCell ref="A61:R61"/>
    <mergeCell ref="A5:B5"/>
    <mergeCell ref="A44:R44"/>
    <mergeCell ref="A30:C30"/>
    <mergeCell ref="A9:L9"/>
    <mergeCell ref="A2:R2"/>
    <mergeCell ref="A32:C32"/>
    <mergeCell ref="C6:R6"/>
    <mergeCell ref="A4:R4"/>
    <mergeCell ref="A58:R58"/>
    <mergeCell ref="A48:R48"/>
    <mergeCell ref="D30:E30"/>
    <mergeCell ref="A55:R55"/>
    <mergeCell ref="A31:C31"/>
    <mergeCell ref="A52:R52"/>
    <mergeCell ref="A56:R56"/>
    <mergeCell ref="A59:R59"/>
    <mergeCell ref="D33:E33"/>
    <mergeCell ref="A49:R49"/>
    <mergeCell ref="D29:E29"/>
    <mergeCell ref="A51:R51"/>
    <mergeCell ref="A63:R63"/>
    <mergeCell ref="A60:R60"/>
    <mergeCell ref="C5:R5"/>
    <mergeCell ref="A53:R53"/>
    <mergeCell ref="C7:R7"/>
    <mergeCell ref="A6:B6"/>
    <mergeCell ref="A50:R50"/>
    <mergeCell ref="A33:C33"/>
    <mergeCell ref="A7:B7"/>
    <mergeCell ref="A43:R43"/>
    <mergeCell ref="A47:R47"/>
    <mergeCell ref="A42:R42"/>
    <mergeCell ref="F29:L29"/>
    <mergeCell ref="D32:E32"/>
    <mergeCell ref="A29:C29"/>
    <mergeCell ref="A62:R62"/>
    <mergeCell ref="A65:J65"/>
    <mergeCell ref="A66:J67"/>
    <mergeCell ref="B76:G76"/>
    <mergeCell ref="N9:R9"/>
    <mergeCell ref="A35:L35"/>
    <mergeCell ref="A36:L40"/>
    <mergeCell ref="A23:L23"/>
    <mergeCell ref="B24:L24"/>
    <mergeCell ref="B25:L25"/>
    <mergeCell ref="B26:L26"/>
    <mergeCell ref="N28:R28"/>
    <mergeCell ref="N29:R33"/>
    <mergeCell ref="A54:R54"/>
    <mergeCell ref="A46:R46"/>
    <mergeCell ref="D31:E31"/>
    <mergeCell ref="A57:R57"/>
  </mergeCells>
  <pageMargins left="0.25" right="0.25" top="0.35" bottom="0.35" header="0.5" footer="0.5"/>
  <pageSetup paperSize="8" fitToHeight="2"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C0F8-457A-6B44-8181-4FB1CAAEFB89}">
  <sheetPr>
    <tabColor theme="6"/>
  </sheetPr>
  <dimension ref="A1:BV445"/>
  <sheetViews>
    <sheetView workbookViewId="0">
      <pane xSplit="5" ySplit="9" topLeftCell="F10" activePane="bottomRight" state="frozen"/>
      <selection pane="topRight" activeCell="F1" sqref="F1"/>
      <selection pane="bottomLeft" activeCell="A10" sqref="A10"/>
      <selection pane="bottomRight" activeCell="R28" sqref="R28"/>
    </sheetView>
  </sheetViews>
  <sheetFormatPr baseColWidth="10" defaultColWidth="8.83203125" defaultRowHeight="16" x14ac:dyDescent="0.2"/>
  <cols>
    <col min="1" max="1" width="16.6640625" customWidth="1"/>
    <col min="2" max="3" width="18" customWidth="1"/>
    <col min="4" max="4" width="15.83203125" customWidth="1"/>
    <col min="5" max="5" width="14" customWidth="1"/>
    <col min="6" max="7" width="12" customWidth="1"/>
    <col min="8" max="8" width="5.83203125" customWidth="1"/>
    <col min="9" max="9" width="18" customWidth="1"/>
    <col min="10" max="74" width="8.83203125" style="14"/>
  </cols>
  <sheetData>
    <row r="1" spans="1:17" ht="34" customHeight="1" x14ac:dyDescent="0.2">
      <c r="A1" s="207" t="s">
        <v>54</v>
      </c>
      <c r="B1" s="207"/>
      <c r="C1" s="207"/>
      <c r="D1" s="207"/>
      <c r="E1" s="207"/>
      <c r="F1" s="207"/>
      <c r="G1" s="207"/>
      <c r="H1" s="207"/>
      <c r="I1" s="207"/>
      <c r="J1" s="207"/>
      <c r="K1" s="207"/>
      <c r="L1" s="207"/>
      <c r="M1" s="207"/>
      <c r="N1" s="207"/>
      <c r="O1" s="207"/>
      <c r="P1" s="207"/>
      <c r="Q1" s="207"/>
    </row>
    <row r="2" spans="1:17" ht="24" customHeight="1" x14ac:dyDescent="0.2">
      <c r="A2" s="109" t="s">
        <v>55</v>
      </c>
      <c r="B2" s="109"/>
      <c r="C2" s="109"/>
      <c r="D2" s="109"/>
      <c r="E2" s="109"/>
      <c r="F2" s="109"/>
      <c r="G2" s="109"/>
      <c r="H2" s="109"/>
      <c r="I2" s="109"/>
      <c r="J2" s="109"/>
      <c r="K2" s="109"/>
      <c r="L2" s="109"/>
      <c r="M2" s="109"/>
      <c r="N2" s="109"/>
      <c r="O2" s="109"/>
      <c r="P2" s="109"/>
      <c r="Q2" s="109"/>
    </row>
    <row r="3" spans="1:17" s="14" customFormat="1" ht="22" customHeight="1" x14ac:dyDescent="0.2"/>
    <row r="4" spans="1:17" ht="22" customHeight="1" x14ac:dyDescent="0.2">
      <c r="A4" s="110" t="s">
        <v>56</v>
      </c>
      <c r="B4" s="110"/>
      <c r="C4" s="110"/>
      <c r="D4" s="110"/>
      <c r="E4" s="110"/>
      <c r="F4" s="110"/>
      <c r="G4" s="110"/>
      <c r="H4" s="110"/>
      <c r="I4" s="110"/>
      <c r="J4" s="110"/>
      <c r="K4" s="110"/>
      <c r="L4" s="110"/>
      <c r="M4" s="110"/>
      <c r="N4" s="110"/>
      <c r="O4" s="110"/>
      <c r="P4" s="110"/>
      <c r="Q4" s="110"/>
    </row>
    <row r="5" spans="1:17" ht="30" customHeight="1" x14ac:dyDescent="0.2">
      <c r="A5" s="208" t="s">
        <v>57</v>
      </c>
      <c r="B5" s="208"/>
      <c r="C5" s="208"/>
      <c r="D5" s="208"/>
      <c r="E5" s="208"/>
      <c r="F5" s="208"/>
      <c r="G5" s="208"/>
      <c r="H5" s="208"/>
      <c r="I5" s="208"/>
      <c r="J5" s="208"/>
      <c r="K5" s="208"/>
      <c r="L5" s="208"/>
      <c r="M5" s="208"/>
      <c r="N5" s="208"/>
      <c r="O5" s="208"/>
      <c r="P5" s="208"/>
      <c r="Q5" s="208"/>
    </row>
    <row r="6" spans="1:17" ht="22" customHeight="1" x14ac:dyDescent="0.2">
      <c r="A6" s="208"/>
      <c r="B6" s="208"/>
      <c r="C6" s="208"/>
      <c r="D6" s="208"/>
      <c r="E6" s="208"/>
      <c r="F6" s="208"/>
      <c r="G6" s="208"/>
      <c r="H6" s="208"/>
      <c r="I6" s="208"/>
      <c r="J6" s="208"/>
      <c r="K6" s="208"/>
      <c r="L6" s="208"/>
      <c r="M6" s="208"/>
      <c r="N6" s="208"/>
      <c r="O6" s="208"/>
      <c r="P6" s="208"/>
      <c r="Q6" s="208"/>
    </row>
    <row r="7" spans="1:17" s="14" customFormat="1" ht="22" customHeight="1" x14ac:dyDescent="0.2"/>
    <row r="8" spans="1:17" ht="22" customHeight="1" x14ac:dyDescent="0.2">
      <c r="A8" s="212" t="s">
        <v>58</v>
      </c>
      <c r="B8" s="114"/>
      <c r="C8" s="114"/>
      <c r="D8" s="114"/>
      <c r="E8" s="114"/>
      <c r="F8" s="114"/>
      <c r="G8" s="114"/>
      <c r="H8" s="14"/>
      <c r="I8" s="85" t="s">
        <v>121</v>
      </c>
      <c r="J8" s="85"/>
      <c r="K8" s="85"/>
      <c r="L8" s="85"/>
      <c r="M8" s="85"/>
      <c r="N8" s="85"/>
      <c r="O8" s="85"/>
      <c r="P8" s="85"/>
      <c r="Q8" s="85"/>
    </row>
    <row r="9" spans="1:17" ht="22" customHeight="1" thickBot="1" x14ac:dyDescent="0.25">
      <c r="A9" s="4" t="s">
        <v>40</v>
      </c>
      <c r="B9" s="4" t="s">
        <v>41</v>
      </c>
      <c r="C9" s="4" t="s">
        <v>42</v>
      </c>
      <c r="D9" s="4" t="s">
        <v>4</v>
      </c>
      <c r="E9" s="4" t="s">
        <v>5</v>
      </c>
      <c r="F9" s="4" t="s">
        <v>59</v>
      </c>
      <c r="G9" s="4" t="s">
        <v>60</v>
      </c>
      <c r="H9" s="14"/>
      <c r="I9" s="14"/>
    </row>
    <row r="10" spans="1:17" s="14" customFormat="1" ht="22" customHeight="1" x14ac:dyDescent="0.2">
      <c r="A10" s="15">
        <v>1</v>
      </c>
      <c r="B10" s="15">
        <v>30</v>
      </c>
      <c r="C10" s="15">
        <v>200</v>
      </c>
      <c r="D10" s="15"/>
      <c r="E10" s="15"/>
      <c r="F10" s="15"/>
      <c r="G10" s="15"/>
    </row>
    <row r="11" spans="1:17" s="14" customFormat="1" ht="22" customHeight="1" x14ac:dyDescent="0.2">
      <c r="A11" s="15">
        <v>2</v>
      </c>
      <c r="B11" s="15">
        <v>50</v>
      </c>
      <c r="C11" s="15">
        <v>400</v>
      </c>
      <c r="D11" s="15"/>
      <c r="E11" s="15"/>
      <c r="F11" s="15"/>
      <c r="G11" s="15"/>
    </row>
    <row r="12" spans="1:17" s="14" customFormat="1" ht="22" customHeight="1" x14ac:dyDescent="0.2">
      <c r="A12" s="15">
        <v>3</v>
      </c>
      <c r="B12" s="15">
        <v>50</v>
      </c>
      <c r="C12" s="15">
        <v>300</v>
      </c>
      <c r="D12" s="15"/>
      <c r="E12" s="15"/>
      <c r="F12" s="15"/>
      <c r="G12" s="15"/>
    </row>
    <row r="13" spans="1:17" s="14" customFormat="1" ht="22" customHeight="1" x14ac:dyDescent="0.2">
      <c r="A13" s="15">
        <v>4</v>
      </c>
      <c r="B13" s="15">
        <v>20</v>
      </c>
      <c r="C13" s="15">
        <v>200</v>
      </c>
      <c r="D13" s="15"/>
      <c r="E13" s="15"/>
      <c r="F13" s="15"/>
      <c r="G13" s="15"/>
    </row>
    <row r="14" spans="1:17" s="14" customFormat="1" ht="22" customHeight="1" x14ac:dyDescent="0.2">
      <c r="A14" s="15">
        <v>5</v>
      </c>
      <c r="B14" s="15">
        <v>10</v>
      </c>
      <c r="C14" s="15">
        <v>100</v>
      </c>
      <c r="D14" s="15"/>
      <c r="E14" s="15"/>
      <c r="F14" s="15"/>
      <c r="G14" s="15"/>
    </row>
    <row r="15" spans="1:17" s="14" customFormat="1" ht="22" customHeight="1" thickBot="1" x14ac:dyDescent="0.25">
      <c r="A15" s="15">
        <v>6</v>
      </c>
      <c r="B15" s="15">
        <v>40</v>
      </c>
      <c r="C15" s="15">
        <v>300</v>
      </c>
      <c r="D15" s="15"/>
      <c r="E15" s="15"/>
      <c r="F15" s="15"/>
      <c r="G15" s="15"/>
    </row>
    <row r="16" spans="1:17" ht="22" customHeight="1" x14ac:dyDescent="0.2">
      <c r="A16" s="6" t="s">
        <v>61</v>
      </c>
      <c r="B16" s="7"/>
      <c r="C16" s="7"/>
      <c r="D16" s="7"/>
      <c r="E16" s="7"/>
      <c r="F16" s="8"/>
      <c r="G16" s="8"/>
      <c r="H16" s="14"/>
      <c r="I16" s="14"/>
    </row>
    <row r="17" spans="1:74" ht="22" customHeight="1" x14ac:dyDescent="0.2">
      <c r="A17" s="9" t="s">
        <v>62</v>
      </c>
      <c r="B17" s="216" t="s">
        <v>63</v>
      </c>
      <c r="C17" s="217"/>
      <c r="D17" s="217"/>
      <c r="E17" s="217"/>
      <c r="F17" s="217"/>
      <c r="G17" s="217"/>
      <c r="H17" s="14"/>
      <c r="I17" s="14"/>
    </row>
    <row r="18" spans="1:74" s="14" customFormat="1" ht="22" customHeight="1" x14ac:dyDescent="0.2"/>
    <row r="19" spans="1:74" ht="22" customHeight="1" x14ac:dyDescent="0.2">
      <c r="A19" s="200" t="s">
        <v>260</v>
      </c>
      <c r="B19" s="200"/>
      <c r="C19" s="200"/>
      <c r="D19" s="200"/>
      <c r="E19" s="200"/>
      <c r="F19" s="200"/>
      <c r="G19" s="200"/>
      <c r="I19" s="104"/>
    </row>
    <row r="20" spans="1:74" ht="32" customHeight="1" x14ac:dyDescent="0.2">
      <c r="A20" s="214" t="s">
        <v>64</v>
      </c>
      <c r="B20" s="214"/>
      <c r="C20" s="215" t="s">
        <v>65</v>
      </c>
      <c r="D20" s="114"/>
      <c r="E20" s="114"/>
      <c r="F20" s="114"/>
      <c r="G20" s="114"/>
      <c r="H20" s="10"/>
      <c r="I20" s="10"/>
      <c r="J20" s="10"/>
    </row>
    <row r="21" spans="1:74" ht="32" customHeight="1" x14ac:dyDescent="0.2">
      <c r="A21" s="214" t="s">
        <v>66</v>
      </c>
      <c r="B21" s="214"/>
      <c r="C21" s="215" t="s">
        <v>67</v>
      </c>
      <c r="D21" s="114"/>
      <c r="E21" s="114"/>
      <c r="F21" s="114"/>
      <c r="G21" s="114"/>
      <c r="H21" s="10"/>
      <c r="I21" s="10"/>
      <c r="J21" s="10"/>
      <c r="K21" s="10"/>
    </row>
    <row r="22" spans="1:74" ht="32" customHeight="1" x14ac:dyDescent="0.2">
      <c r="A22" s="214" t="s">
        <v>68</v>
      </c>
      <c r="B22" s="214"/>
      <c r="C22" s="215" t="s">
        <v>69</v>
      </c>
      <c r="D22" s="114"/>
      <c r="E22" s="114"/>
      <c r="F22" s="114"/>
      <c r="G22" s="114"/>
      <c r="H22" s="10"/>
      <c r="I22" s="10"/>
      <c r="J22" s="10"/>
      <c r="K22" s="10"/>
    </row>
    <row r="23" spans="1:74" ht="32" customHeight="1" x14ac:dyDescent="0.2">
      <c r="A23" s="28" t="s">
        <v>132</v>
      </c>
      <c r="B23" s="28"/>
      <c r="C23" s="206" t="s">
        <v>215</v>
      </c>
      <c r="D23" s="206"/>
      <c r="E23" s="206"/>
      <c r="F23" s="206"/>
      <c r="G23" s="206"/>
      <c r="H23" s="29"/>
      <c r="I23" s="29"/>
      <c r="J23" s="29"/>
      <c r="K23" s="10"/>
    </row>
    <row r="24" spans="1:74" s="14" customFormat="1" ht="22" customHeight="1" x14ac:dyDescent="0.2">
      <c r="K24" s="10"/>
    </row>
    <row r="25" spans="1:74" ht="22" customHeight="1" x14ac:dyDescent="0.2">
      <c r="A25" s="200" t="s">
        <v>262</v>
      </c>
      <c r="B25" s="200"/>
      <c r="C25" s="200"/>
      <c r="D25" s="200"/>
      <c r="E25" s="200"/>
      <c r="F25" s="200"/>
      <c r="G25" s="200"/>
      <c r="H25" s="14"/>
      <c r="I25" s="212" t="s">
        <v>263</v>
      </c>
      <c r="J25" s="114"/>
      <c r="K25" s="114"/>
      <c r="L25" s="114"/>
      <c r="M25" s="114"/>
      <c r="N25" s="114"/>
      <c r="O25" s="114"/>
      <c r="P25" s="114"/>
      <c r="Q25" s="114"/>
    </row>
    <row r="26" spans="1:74" ht="22" customHeight="1" x14ac:dyDescent="0.2">
      <c r="A26" s="92" t="s">
        <v>45</v>
      </c>
      <c r="B26" s="92" t="s">
        <v>44</v>
      </c>
      <c r="C26" s="92" t="s">
        <v>70</v>
      </c>
      <c r="D26" s="126" t="s">
        <v>71</v>
      </c>
      <c r="E26" s="126"/>
      <c r="F26" s="126" t="s">
        <v>43</v>
      </c>
      <c r="G26" s="126"/>
      <c r="H26" s="14"/>
      <c r="I26" s="12"/>
      <c r="J26" s="12"/>
      <c r="K26" s="21"/>
      <c r="L26" s="12"/>
      <c r="M26" s="12"/>
      <c r="N26" s="12"/>
      <c r="O26" s="12"/>
      <c r="P26" s="12"/>
      <c r="Q26" s="12"/>
    </row>
    <row r="27" spans="1:74" s="14" customFormat="1" ht="30" customHeight="1" x14ac:dyDescent="0.2">
      <c r="A27" s="105" t="s">
        <v>41</v>
      </c>
      <c r="B27" s="105"/>
      <c r="C27" s="105"/>
      <c r="D27" s="202"/>
      <c r="E27" s="202"/>
      <c r="F27" s="105" t="s">
        <v>72</v>
      </c>
      <c r="G27" s="106"/>
      <c r="I27" s="12"/>
      <c r="J27" s="12"/>
      <c r="K27" s="12"/>
      <c r="L27" s="12"/>
      <c r="M27" s="12"/>
      <c r="N27" s="12"/>
      <c r="O27" s="12"/>
      <c r="P27" s="12"/>
      <c r="Q27" s="12"/>
    </row>
    <row r="28" spans="1:74" s="14" customFormat="1" ht="30" customHeight="1" x14ac:dyDescent="0.2">
      <c r="A28" s="107" t="s">
        <v>42</v>
      </c>
      <c r="B28" s="107"/>
      <c r="C28" s="107"/>
      <c r="D28" s="213"/>
      <c r="E28" s="213"/>
      <c r="F28" s="209" t="s">
        <v>73</v>
      </c>
      <c r="G28" s="210"/>
      <c r="I28" s="203" t="s">
        <v>74</v>
      </c>
      <c r="J28" s="203"/>
      <c r="K28" s="203"/>
      <c r="L28" s="17"/>
      <c r="M28" s="204" t="s">
        <v>261</v>
      </c>
      <c r="N28" s="205"/>
      <c r="O28" s="205"/>
      <c r="P28" s="205"/>
      <c r="Q28" s="205"/>
    </row>
    <row r="29" spans="1:74" s="14" customFormat="1" ht="30" customHeight="1" x14ac:dyDescent="0.2">
      <c r="A29" s="105" t="s">
        <v>42</v>
      </c>
      <c r="B29" s="105"/>
      <c r="C29" s="105"/>
      <c r="D29" s="202"/>
      <c r="E29" s="202"/>
      <c r="F29" s="202"/>
      <c r="G29" s="211"/>
      <c r="I29" s="203" t="s">
        <v>75</v>
      </c>
      <c r="J29" s="203"/>
      <c r="K29" s="203"/>
      <c r="L29" s="18"/>
      <c r="M29" s="205"/>
      <c r="N29" s="205"/>
      <c r="O29" s="205"/>
      <c r="P29" s="205"/>
      <c r="Q29" s="205"/>
    </row>
    <row r="30" spans="1:74" s="14" customFormat="1" ht="22" customHeight="1" x14ac:dyDescent="0.2">
      <c r="I30" s="203" t="s">
        <v>76</v>
      </c>
      <c r="J30" s="203"/>
      <c r="K30" s="203"/>
      <c r="L30" s="19"/>
      <c r="M30" s="205"/>
      <c r="N30" s="205"/>
      <c r="O30" s="205"/>
      <c r="P30" s="205"/>
      <c r="Q30" s="205"/>
    </row>
    <row r="31" spans="1:74" ht="22" customHeight="1" x14ac:dyDescent="0.2">
      <c r="A31" s="14"/>
      <c r="B31" s="14"/>
      <c r="C31" s="14"/>
      <c r="D31" s="14"/>
      <c r="E31" s="14"/>
      <c r="F31" s="14"/>
      <c r="G31" s="14"/>
      <c r="H31" s="14"/>
      <c r="I31" s="16"/>
      <c r="J31" s="16"/>
      <c r="K31" s="19"/>
      <c r="L31" s="10"/>
    </row>
    <row r="32" spans="1:74" ht="30" customHeight="1" x14ac:dyDescent="0.2">
      <c r="A32" s="110" t="s">
        <v>257</v>
      </c>
      <c r="B32" s="110"/>
      <c r="C32" s="110"/>
      <c r="D32" s="110"/>
      <c r="E32" s="110"/>
      <c r="F32" s="110"/>
      <c r="G32" s="110"/>
      <c r="H32" s="110"/>
      <c r="I32" s="110"/>
      <c r="J32" s="110"/>
      <c r="K32" s="110"/>
      <c r="L32" s="110"/>
      <c r="M32" s="110"/>
      <c r="N32" s="110"/>
      <c r="O32" s="110"/>
      <c r="P32" s="110"/>
      <c r="Q32" s="110"/>
      <c r="BB32"/>
      <c r="BC32"/>
      <c r="BD32"/>
      <c r="BE32"/>
      <c r="BF32"/>
      <c r="BG32"/>
      <c r="BH32"/>
      <c r="BI32"/>
      <c r="BJ32"/>
      <c r="BK32"/>
      <c r="BL32"/>
      <c r="BM32"/>
      <c r="BN32"/>
      <c r="BO32"/>
      <c r="BP32"/>
      <c r="BQ32"/>
      <c r="BR32"/>
      <c r="BS32"/>
      <c r="BT32"/>
      <c r="BU32"/>
      <c r="BV32"/>
    </row>
    <row r="33" spans="1:74" ht="16" customHeight="1" x14ac:dyDescent="0.2">
      <c r="A33" s="199" t="s">
        <v>110</v>
      </c>
      <c r="B33" s="199"/>
      <c r="C33" s="199"/>
      <c r="D33" s="199"/>
      <c r="E33" s="199"/>
      <c r="F33" s="199"/>
      <c r="G33" s="199"/>
      <c r="H33" s="199"/>
      <c r="I33" s="199"/>
      <c r="J33" s="199"/>
      <c r="K33" s="199"/>
      <c r="L33" s="199"/>
      <c r="M33" s="199"/>
      <c r="N33" s="199"/>
      <c r="O33" s="199"/>
      <c r="P33" s="199"/>
      <c r="Q33" s="199"/>
      <c r="BB33"/>
      <c r="BC33"/>
      <c r="BD33"/>
      <c r="BE33"/>
      <c r="BF33"/>
      <c r="BG33"/>
      <c r="BH33"/>
      <c r="BI33"/>
      <c r="BJ33"/>
      <c r="BK33"/>
      <c r="BL33"/>
      <c r="BM33"/>
      <c r="BN33"/>
      <c r="BO33"/>
      <c r="BP33"/>
      <c r="BQ33"/>
      <c r="BR33"/>
      <c r="BS33"/>
      <c r="BT33"/>
      <c r="BU33"/>
      <c r="BV33"/>
    </row>
    <row r="34" spans="1:74" ht="25" customHeight="1" x14ac:dyDescent="0.2">
      <c r="A34" s="199"/>
      <c r="B34" s="199"/>
      <c r="C34" s="199"/>
      <c r="D34" s="199"/>
      <c r="E34" s="199"/>
      <c r="F34" s="199"/>
      <c r="G34" s="199"/>
      <c r="H34" s="199"/>
      <c r="I34" s="199"/>
      <c r="J34" s="199"/>
      <c r="K34" s="199"/>
      <c r="L34" s="199"/>
      <c r="M34" s="199"/>
      <c r="N34" s="199"/>
      <c r="O34" s="199"/>
      <c r="P34" s="199"/>
      <c r="Q34" s="199"/>
      <c r="BB34"/>
      <c r="BC34"/>
      <c r="BD34"/>
      <c r="BE34"/>
      <c r="BF34"/>
      <c r="BG34"/>
      <c r="BH34"/>
      <c r="BI34"/>
      <c r="BJ34"/>
      <c r="BK34"/>
      <c r="BL34"/>
      <c r="BM34"/>
      <c r="BN34"/>
      <c r="BO34"/>
      <c r="BP34"/>
      <c r="BQ34"/>
      <c r="BR34"/>
      <c r="BS34"/>
      <c r="BT34"/>
      <c r="BU34"/>
      <c r="BV34"/>
    </row>
    <row r="35" spans="1:74" s="14" customFormat="1" ht="25" customHeight="1" x14ac:dyDescent="0.2">
      <c r="A35" s="16"/>
      <c r="B35" s="16"/>
      <c r="C35" s="10"/>
      <c r="I35" s="26"/>
    </row>
    <row r="36" spans="1:74" ht="22" customHeight="1" x14ac:dyDescent="0.2">
      <c r="A36" s="200" t="s">
        <v>264</v>
      </c>
      <c r="B36" s="200"/>
      <c r="C36" s="200"/>
      <c r="D36" s="200"/>
      <c r="E36" s="200"/>
      <c r="F36" s="200"/>
      <c r="G36" s="200"/>
      <c r="H36" s="200"/>
      <c r="I36" s="200"/>
      <c r="J36" s="200"/>
      <c r="K36" s="200"/>
      <c r="L36" s="200"/>
      <c r="M36" s="200"/>
      <c r="N36" s="200"/>
      <c r="O36" s="200"/>
      <c r="P36" s="200"/>
      <c r="Q36" s="200"/>
    </row>
    <row r="37" spans="1:74" ht="28" customHeight="1" x14ac:dyDescent="0.2">
      <c r="A37" s="201" t="s">
        <v>77</v>
      </c>
      <c r="B37" s="201"/>
      <c r="C37" s="201"/>
      <c r="D37" s="201"/>
      <c r="E37" s="201"/>
      <c r="F37" s="201"/>
      <c r="G37" s="201"/>
      <c r="H37" s="201"/>
      <c r="I37" s="201"/>
      <c r="J37" s="201"/>
      <c r="K37" s="201"/>
      <c r="L37" s="201"/>
      <c r="M37" s="201"/>
      <c r="N37" s="201"/>
      <c r="O37" s="201"/>
      <c r="P37" s="201"/>
      <c r="Q37" s="201"/>
    </row>
    <row r="38" spans="1:74" ht="22" customHeight="1" x14ac:dyDescent="0.2">
      <c r="A38" s="201"/>
      <c r="B38" s="201"/>
      <c r="C38" s="201"/>
      <c r="D38" s="201"/>
      <c r="E38" s="201"/>
      <c r="F38" s="201"/>
      <c r="G38" s="201"/>
      <c r="H38" s="201"/>
      <c r="I38" s="201"/>
      <c r="J38" s="201"/>
      <c r="K38" s="201"/>
      <c r="L38" s="201"/>
      <c r="M38" s="201"/>
      <c r="N38" s="201"/>
      <c r="O38" s="201"/>
      <c r="P38" s="201"/>
      <c r="Q38" s="201"/>
    </row>
    <row r="39" spans="1:74" ht="22" customHeight="1" x14ac:dyDescent="0.2">
      <c r="A39" s="201"/>
      <c r="B39" s="201"/>
      <c r="C39" s="201"/>
      <c r="D39" s="201"/>
      <c r="E39" s="201"/>
      <c r="F39" s="201"/>
      <c r="G39" s="201"/>
      <c r="H39" s="201"/>
      <c r="I39" s="201"/>
      <c r="J39" s="201"/>
      <c r="K39" s="201"/>
      <c r="L39" s="201"/>
      <c r="M39" s="201"/>
      <c r="N39" s="201"/>
      <c r="O39" s="201"/>
      <c r="P39" s="201"/>
      <c r="Q39" s="201"/>
    </row>
    <row r="40" spans="1:74" ht="22" customHeight="1" x14ac:dyDescent="0.2">
      <c r="A40" s="201"/>
      <c r="B40" s="201"/>
      <c r="C40" s="201"/>
      <c r="D40" s="201"/>
      <c r="E40" s="201"/>
      <c r="F40" s="201"/>
      <c r="G40" s="201"/>
      <c r="H40" s="201"/>
      <c r="I40" s="201"/>
      <c r="J40" s="201"/>
      <c r="K40" s="201"/>
      <c r="L40" s="201"/>
      <c r="M40" s="201"/>
      <c r="N40" s="201"/>
      <c r="O40" s="201"/>
      <c r="P40" s="201"/>
      <c r="Q40" s="201"/>
    </row>
    <row r="41" spans="1:74" ht="22" customHeight="1" x14ac:dyDescent="0.2">
      <c r="A41" s="201"/>
      <c r="B41" s="201"/>
      <c r="C41" s="201"/>
      <c r="D41" s="201"/>
      <c r="E41" s="201"/>
      <c r="F41" s="201"/>
      <c r="G41" s="201"/>
      <c r="H41" s="201"/>
      <c r="I41" s="201"/>
      <c r="J41" s="201"/>
      <c r="K41" s="201"/>
      <c r="L41" s="201"/>
      <c r="M41" s="201"/>
      <c r="N41" s="201"/>
      <c r="O41" s="201"/>
      <c r="P41" s="201"/>
      <c r="Q41" s="201"/>
    </row>
    <row r="42" spans="1:74" ht="22" customHeight="1" x14ac:dyDescent="0.2">
      <c r="A42" s="201"/>
      <c r="B42" s="201"/>
      <c r="C42" s="201"/>
      <c r="D42" s="201"/>
      <c r="E42" s="201"/>
      <c r="F42" s="201"/>
      <c r="G42" s="201"/>
      <c r="H42" s="201"/>
      <c r="I42" s="201"/>
      <c r="J42" s="201"/>
      <c r="K42" s="201"/>
      <c r="L42" s="201"/>
      <c r="M42" s="201"/>
      <c r="N42" s="201"/>
      <c r="O42" s="201"/>
      <c r="P42" s="201"/>
      <c r="Q42" s="201"/>
    </row>
    <row r="43" spans="1:74" s="14" customFormat="1" x14ac:dyDescent="0.2"/>
    <row r="44" spans="1:74" s="14" customFormat="1" x14ac:dyDescent="0.2"/>
    <row r="45" spans="1:74" s="14" customFormat="1" x14ac:dyDescent="0.2"/>
    <row r="46" spans="1:74" s="14" customFormat="1" x14ac:dyDescent="0.2"/>
    <row r="47" spans="1:74" s="14" customFormat="1" x14ac:dyDescent="0.2"/>
    <row r="48" spans="1:74"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sheetData>
  <mergeCells count="31">
    <mergeCell ref="A20:B20"/>
    <mergeCell ref="C20:G20"/>
    <mergeCell ref="A21:B21"/>
    <mergeCell ref="C21:G21"/>
    <mergeCell ref="A22:B22"/>
    <mergeCell ref="C22:G22"/>
    <mergeCell ref="A19:G19"/>
    <mergeCell ref="A1:Q1"/>
    <mergeCell ref="A2:Q2"/>
    <mergeCell ref="A4:Q4"/>
    <mergeCell ref="A5:Q6"/>
    <mergeCell ref="B17:G17"/>
    <mergeCell ref="A8:G8"/>
    <mergeCell ref="I28:K28"/>
    <mergeCell ref="I29:K29"/>
    <mergeCell ref="I30:K30"/>
    <mergeCell ref="M28:Q30"/>
    <mergeCell ref="C23:G23"/>
    <mergeCell ref="F26:G26"/>
    <mergeCell ref="F28:F29"/>
    <mergeCell ref="G28:G29"/>
    <mergeCell ref="I25:Q25"/>
    <mergeCell ref="A25:G25"/>
    <mergeCell ref="D26:E26"/>
    <mergeCell ref="D27:E27"/>
    <mergeCell ref="D28:E28"/>
    <mergeCell ref="A32:Q32"/>
    <mergeCell ref="A33:Q34"/>
    <mergeCell ref="A36:Q36"/>
    <mergeCell ref="A37:Q42"/>
    <mergeCell ref="D29:E2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20926-1CD8-7647-ADB9-E84BF4918435}">
  <sheetPr>
    <tabColor theme="6"/>
  </sheetPr>
  <dimension ref="A1:AY429"/>
  <sheetViews>
    <sheetView tabSelected="1" workbookViewId="0">
      <selection activeCell="T22" sqref="T22"/>
    </sheetView>
  </sheetViews>
  <sheetFormatPr baseColWidth="10" defaultColWidth="8.83203125" defaultRowHeight="16" x14ac:dyDescent="0.2"/>
  <cols>
    <col min="1" max="2" width="12.83203125" customWidth="1"/>
    <col min="3" max="3" width="16" customWidth="1"/>
    <col min="4" max="6" width="14" customWidth="1"/>
    <col min="7" max="7" width="16.33203125" customWidth="1"/>
    <col min="8" max="8" width="14" customWidth="1"/>
    <col min="9" max="9" width="5.5" customWidth="1"/>
    <col min="10" max="10" width="24" customWidth="1"/>
    <col min="11" max="51" width="8.83203125" style="14"/>
  </cols>
  <sheetData>
    <row r="1" spans="1:18" ht="35" customHeight="1" x14ac:dyDescent="0.2">
      <c r="A1" s="30" t="s">
        <v>78</v>
      </c>
      <c r="B1" s="30"/>
      <c r="C1" s="30"/>
      <c r="D1" s="30"/>
      <c r="E1" s="30"/>
      <c r="F1" s="30"/>
      <c r="G1" s="108"/>
      <c r="H1" s="108"/>
      <c r="I1" s="108"/>
      <c r="J1" s="108"/>
      <c r="K1" s="108"/>
      <c r="L1" s="108"/>
      <c r="M1" s="108"/>
      <c r="N1" s="108"/>
      <c r="O1" s="108"/>
      <c r="P1" s="108"/>
      <c r="Q1" s="108"/>
      <c r="R1" s="108"/>
    </row>
    <row r="2" spans="1:18" ht="24" customHeight="1" x14ac:dyDescent="0.2">
      <c r="A2" s="109" t="s">
        <v>79</v>
      </c>
      <c r="B2" s="109"/>
      <c r="C2" s="109"/>
      <c r="D2" s="109"/>
      <c r="E2" s="109"/>
      <c r="F2" s="109"/>
      <c r="G2" s="109"/>
      <c r="H2" s="109"/>
      <c r="I2" s="109"/>
      <c r="J2" s="109"/>
      <c r="K2" s="109"/>
      <c r="L2" s="109"/>
      <c r="M2" s="109"/>
      <c r="N2" s="109"/>
      <c r="O2" s="109"/>
      <c r="P2" s="109"/>
      <c r="Q2" s="109"/>
      <c r="R2" s="109"/>
    </row>
    <row r="3" spans="1:18" s="14" customFormat="1" x14ac:dyDescent="0.2"/>
    <row r="4" spans="1:18" ht="25" customHeight="1" x14ac:dyDescent="0.2">
      <c r="A4" s="110" t="s">
        <v>80</v>
      </c>
      <c r="B4" s="110"/>
      <c r="C4" s="110"/>
      <c r="D4" s="110"/>
      <c r="E4" s="110"/>
      <c r="F4" s="110"/>
      <c r="G4" s="110"/>
      <c r="H4" s="110"/>
      <c r="I4" s="110"/>
      <c r="J4" s="110"/>
      <c r="K4" s="110"/>
      <c r="L4" s="110"/>
      <c r="M4" s="110"/>
      <c r="N4" s="110"/>
      <c r="O4" s="110"/>
      <c r="P4" s="110"/>
      <c r="Q4" s="110"/>
      <c r="R4" s="110"/>
    </row>
    <row r="5" spans="1:18" ht="22" customHeight="1" x14ac:dyDescent="0.2">
      <c r="A5" s="87" t="s">
        <v>81</v>
      </c>
      <c r="B5" s="86"/>
      <c r="C5" s="132" t="s">
        <v>82</v>
      </c>
      <c r="D5" s="132"/>
      <c r="E5" s="132"/>
      <c r="F5" s="132"/>
      <c r="G5" s="132"/>
      <c r="H5" s="132"/>
      <c r="I5" s="132"/>
      <c r="J5" s="132"/>
      <c r="K5" s="132"/>
      <c r="L5" s="132"/>
      <c r="M5" s="132"/>
      <c r="N5" s="132"/>
      <c r="O5" s="132"/>
      <c r="P5" s="132"/>
      <c r="Q5" s="132"/>
      <c r="R5" s="132"/>
    </row>
    <row r="6" spans="1:18" ht="21" customHeight="1" x14ac:dyDescent="0.2">
      <c r="A6" s="130" t="s">
        <v>83</v>
      </c>
      <c r="B6" s="131"/>
      <c r="C6" s="132" t="s">
        <v>84</v>
      </c>
      <c r="D6" s="132"/>
      <c r="E6" s="132"/>
      <c r="F6" s="132"/>
      <c r="G6" s="132"/>
      <c r="H6" s="132"/>
      <c r="I6" s="132"/>
      <c r="J6" s="132"/>
      <c r="K6" s="132"/>
      <c r="L6" s="132"/>
      <c r="M6" s="132"/>
      <c r="N6" s="132"/>
      <c r="O6" s="132"/>
      <c r="P6" s="132"/>
      <c r="Q6" s="132"/>
      <c r="R6" s="132"/>
    </row>
    <row r="7" spans="1:18" ht="21" customHeight="1" x14ac:dyDescent="0.2">
      <c r="A7" s="130" t="s">
        <v>246</v>
      </c>
      <c r="B7" s="131"/>
      <c r="C7" s="132" t="s">
        <v>245</v>
      </c>
      <c r="D7" s="132"/>
      <c r="E7" s="132"/>
      <c r="F7" s="132"/>
      <c r="G7" s="132"/>
      <c r="H7" s="132"/>
      <c r="I7" s="132"/>
      <c r="J7" s="132"/>
      <c r="K7" s="132"/>
      <c r="L7" s="132"/>
      <c r="M7" s="132"/>
      <c r="N7" s="132"/>
      <c r="O7" s="132"/>
      <c r="P7" s="132"/>
      <c r="Q7" s="132"/>
      <c r="R7" s="132"/>
    </row>
    <row r="8" spans="1:18" s="14" customFormat="1" x14ac:dyDescent="0.2"/>
    <row r="9" spans="1:18" ht="25" customHeight="1" x14ac:dyDescent="0.2">
      <c r="A9" s="110" t="s">
        <v>85</v>
      </c>
      <c r="B9" s="110"/>
      <c r="C9" s="110"/>
      <c r="D9" s="110"/>
      <c r="E9" s="110"/>
      <c r="F9" s="110"/>
      <c r="G9" s="110"/>
      <c r="H9" s="110"/>
      <c r="I9" s="14"/>
      <c r="J9" s="85" t="s">
        <v>121</v>
      </c>
      <c r="K9" s="85"/>
      <c r="L9" s="85"/>
      <c r="M9" s="85"/>
      <c r="N9" s="85"/>
      <c r="O9" s="85"/>
      <c r="P9" s="85"/>
      <c r="Q9" s="85"/>
      <c r="R9" s="85"/>
    </row>
    <row r="10" spans="1:18" x14ac:dyDescent="0.2">
      <c r="A10" s="20" t="s">
        <v>40</v>
      </c>
      <c r="B10" s="20" t="s">
        <v>41</v>
      </c>
      <c r="C10" s="20" t="s">
        <v>42</v>
      </c>
      <c r="D10" s="20" t="s">
        <v>21</v>
      </c>
      <c r="E10" s="20" t="s">
        <v>22</v>
      </c>
      <c r="F10" s="20" t="s">
        <v>23</v>
      </c>
      <c r="G10" s="20" t="s">
        <v>24</v>
      </c>
      <c r="H10" s="20" t="s">
        <v>35</v>
      </c>
      <c r="I10" s="96"/>
      <c r="J10" s="96"/>
    </row>
    <row r="11" spans="1:18" x14ac:dyDescent="0.2">
      <c r="A11" s="22">
        <v>1</v>
      </c>
      <c r="B11" s="22">
        <v>10</v>
      </c>
      <c r="C11" s="22">
        <v>100</v>
      </c>
      <c r="D11" s="22"/>
      <c r="E11" s="22"/>
      <c r="F11" s="22"/>
      <c r="G11" s="22"/>
      <c r="H11" s="22"/>
      <c r="I11" s="14"/>
      <c r="J11" s="14"/>
    </row>
    <row r="12" spans="1:18" x14ac:dyDescent="0.2">
      <c r="A12" s="23">
        <v>2</v>
      </c>
      <c r="B12" s="23">
        <v>20</v>
      </c>
      <c r="C12" s="23">
        <v>200</v>
      </c>
      <c r="D12" s="23"/>
      <c r="E12" s="23"/>
      <c r="F12" s="23"/>
      <c r="G12" s="23"/>
      <c r="H12" s="23"/>
      <c r="I12" s="14"/>
      <c r="J12" s="14"/>
    </row>
    <row r="13" spans="1:18" x14ac:dyDescent="0.2">
      <c r="A13" s="22">
        <v>3</v>
      </c>
      <c r="B13" s="22">
        <v>20</v>
      </c>
      <c r="C13" s="22">
        <v>300</v>
      </c>
      <c r="D13" s="23"/>
      <c r="E13" s="23"/>
      <c r="F13" s="22"/>
      <c r="G13" s="22"/>
      <c r="H13" s="22"/>
      <c r="I13" s="14"/>
      <c r="J13" s="14"/>
    </row>
    <row r="14" spans="1:18" x14ac:dyDescent="0.2">
      <c r="A14" s="23">
        <v>4</v>
      </c>
      <c r="B14" s="23">
        <v>30</v>
      </c>
      <c r="C14" s="23">
        <v>300</v>
      </c>
      <c r="D14" s="23"/>
      <c r="E14" s="23"/>
      <c r="F14" s="23"/>
      <c r="G14" s="23"/>
      <c r="H14" s="23"/>
      <c r="I14" s="14"/>
      <c r="J14" s="14"/>
    </row>
    <row r="15" spans="1:18" x14ac:dyDescent="0.2">
      <c r="A15" s="22">
        <v>5</v>
      </c>
      <c r="B15" s="22">
        <v>40</v>
      </c>
      <c r="C15" s="22">
        <v>400</v>
      </c>
      <c r="D15" s="23"/>
      <c r="E15" s="23"/>
      <c r="F15" s="23"/>
      <c r="G15" s="23"/>
      <c r="H15" s="22"/>
      <c r="I15" s="14"/>
      <c r="J15" s="14"/>
    </row>
    <row r="16" spans="1:18" x14ac:dyDescent="0.2">
      <c r="A16" s="23">
        <v>6</v>
      </c>
      <c r="B16" s="23">
        <v>50</v>
      </c>
      <c r="C16" s="23">
        <v>500</v>
      </c>
      <c r="D16" s="23"/>
      <c r="E16" s="23"/>
      <c r="F16" s="23"/>
      <c r="G16" s="23"/>
      <c r="H16" s="23"/>
      <c r="I16" s="14"/>
      <c r="J16" s="14"/>
    </row>
    <row r="17" spans="1:10" s="14" customFormat="1" x14ac:dyDescent="0.2"/>
    <row r="18" spans="1:10" ht="25" customHeight="1" x14ac:dyDescent="0.2">
      <c r="A18" s="110" t="s">
        <v>251</v>
      </c>
      <c r="B18" s="110"/>
      <c r="C18" s="110"/>
      <c r="D18" s="110"/>
      <c r="E18" s="110"/>
      <c r="F18" s="110"/>
      <c r="G18" s="110"/>
      <c r="H18" s="110"/>
      <c r="I18" s="97"/>
      <c r="J18" s="97"/>
    </row>
    <row r="19" spans="1:10" ht="24" customHeight="1" x14ac:dyDescent="0.2">
      <c r="A19" s="87" t="s">
        <v>243</v>
      </c>
      <c r="B19" s="102" t="s">
        <v>101</v>
      </c>
      <c r="C19" s="102"/>
      <c r="D19" s="102"/>
      <c r="E19" s="102"/>
      <c r="F19" s="102"/>
      <c r="G19" s="102"/>
      <c r="H19" s="102"/>
      <c r="I19" s="14"/>
      <c r="J19" s="14"/>
    </row>
    <row r="20" spans="1:10" ht="24" customHeight="1" x14ac:dyDescent="0.2">
      <c r="A20" s="87" t="s">
        <v>241</v>
      </c>
      <c r="B20" s="122" t="s">
        <v>100</v>
      </c>
      <c r="C20" s="123"/>
      <c r="D20" s="123"/>
      <c r="E20" s="123"/>
      <c r="F20" s="123"/>
      <c r="G20" s="123"/>
      <c r="H20" s="103"/>
      <c r="I20" s="14"/>
      <c r="J20" s="14"/>
    </row>
    <row r="21" spans="1:10" ht="24" customHeight="1" x14ac:dyDescent="0.2">
      <c r="A21" s="101" t="s">
        <v>239</v>
      </c>
      <c r="B21" s="124" t="s">
        <v>102</v>
      </c>
      <c r="C21" s="125"/>
      <c r="D21" s="125"/>
      <c r="E21" s="125"/>
      <c r="F21" s="125"/>
      <c r="G21" s="125"/>
      <c r="H21" s="102"/>
      <c r="I21" s="14"/>
      <c r="J21" s="14"/>
    </row>
    <row r="22" spans="1:10" s="14" customFormat="1" x14ac:dyDescent="0.2"/>
    <row r="23" spans="1:10" ht="25" customHeight="1" x14ac:dyDescent="0.2">
      <c r="A23" s="27" t="s">
        <v>254</v>
      </c>
      <c r="B23" s="27"/>
      <c r="C23" s="27"/>
      <c r="D23" s="27"/>
      <c r="E23" s="27"/>
      <c r="F23" s="27"/>
      <c r="G23" s="27"/>
      <c r="H23" s="27"/>
      <c r="I23" s="97"/>
      <c r="J23" s="97"/>
    </row>
    <row r="24" spans="1:10" ht="32" x14ac:dyDescent="0.2">
      <c r="A24" s="92" t="s">
        <v>45</v>
      </c>
      <c r="B24" s="92" t="s">
        <v>44</v>
      </c>
      <c r="C24" s="126" t="s">
        <v>46</v>
      </c>
      <c r="D24" s="126"/>
      <c r="E24" s="126" t="s">
        <v>86</v>
      </c>
      <c r="F24" s="126"/>
      <c r="G24" s="126" t="s">
        <v>47</v>
      </c>
      <c r="H24" s="126"/>
      <c r="I24" s="14"/>
      <c r="J24" s="14"/>
    </row>
    <row r="25" spans="1:10" ht="28" customHeight="1" x14ac:dyDescent="0.2">
      <c r="A25" s="98" t="s">
        <v>41</v>
      </c>
      <c r="B25" s="98"/>
      <c r="C25" s="127"/>
      <c r="D25" s="127"/>
      <c r="E25" s="127"/>
      <c r="F25" s="127"/>
      <c r="G25" s="128" t="s">
        <v>103</v>
      </c>
      <c r="H25" s="129"/>
      <c r="I25" s="14"/>
      <c r="J25" s="14"/>
    </row>
    <row r="26" spans="1:10" ht="28" customHeight="1" x14ac:dyDescent="0.2">
      <c r="A26" s="98" t="s">
        <v>42</v>
      </c>
      <c r="B26" s="98"/>
      <c r="C26" s="127"/>
      <c r="D26" s="127"/>
      <c r="E26" s="127"/>
      <c r="F26" s="127"/>
      <c r="G26" s="128" t="s">
        <v>104</v>
      </c>
      <c r="H26" s="129"/>
      <c r="I26" s="14"/>
      <c r="J26" s="14"/>
    </row>
    <row r="27" spans="1:10" s="14" customFormat="1" x14ac:dyDescent="0.2"/>
    <row r="28" spans="1:10" ht="25" customHeight="1" x14ac:dyDescent="0.2">
      <c r="A28" s="27" t="s">
        <v>255</v>
      </c>
      <c r="B28" s="27"/>
      <c r="C28" s="27"/>
      <c r="D28" s="27"/>
      <c r="E28" s="27"/>
      <c r="F28" s="27"/>
      <c r="G28" s="27"/>
      <c r="H28" s="27"/>
      <c r="I28" s="97"/>
      <c r="J28" s="97"/>
    </row>
    <row r="29" spans="1:10" ht="16" customHeight="1" x14ac:dyDescent="0.2">
      <c r="A29" s="99"/>
      <c r="B29" s="100"/>
      <c r="C29" s="100"/>
      <c r="D29" s="100"/>
      <c r="E29" s="100"/>
      <c r="F29" s="100"/>
      <c r="G29" s="100"/>
      <c r="H29" s="100"/>
      <c r="I29" s="14"/>
      <c r="J29" s="14"/>
    </row>
    <row r="30" spans="1:10" ht="24" customHeight="1" x14ac:dyDescent="0.2">
      <c r="A30" s="100"/>
      <c r="B30" s="100"/>
      <c r="C30" s="100"/>
      <c r="D30" s="100"/>
      <c r="E30" s="100"/>
      <c r="F30" s="100"/>
      <c r="G30" s="100"/>
      <c r="H30" s="100"/>
      <c r="I30" s="14"/>
      <c r="J30" s="14"/>
    </row>
    <row r="31" spans="1:10" x14ac:dyDescent="0.2">
      <c r="A31" s="116" t="s">
        <v>74</v>
      </c>
      <c r="B31" s="116"/>
      <c r="C31" s="13"/>
      <c r="D31" s="14"/>
      <c r="E31" s="14"/>
      <c r="F31" s="14"/>
      <c r="G31" s="14"/>
      <c r="H31" s="14"/>
      <c r="I31" s="14"/>
      <c r="J31" s="14"/>
    </row>
    <row r="32" spans="1:10" x14ac:dyDescent="0.2">
      <c r="A32" s="118" t="s">
        <v>105</v>
      </c>
      <c r="B32" s="118"/>
      <c r="C32" s="13"/>
      <c r="D32" s="14" t="s">
        <v>107</v>
      </c>
      <c r="E32" s="14"/>
      <c r="F32" s="14"/>
      <c r="G32" s="14"/>
      <c r="H32" s="14"/>
      <c r="I32" s="14"/>
      <c r="J32" s="14"/>
    </row>
    <row r="33" spans="1:10" ht="32" customHeight="1" x14ac:dyDescent="0.2">
      <c r="A33" s="119" t="s">
        <v>93</v>
      </c>
      <c r="B33" s="119"/>
      <c r="C33" s="24"/>
      <c r="D33" s="10" t="s">
        <v>111</v>
      </c>
      <c r="E33" s="14"/>
      <c r="F33" s="14"/>
      <c r="G33" s="14"/>
      <c r="H33" s="14"/>
      <c r="I33" s="14"/>
      <c r="J33" s="14"/>
    </row>
    <row r="34" spans="1:10" ht="32" customHeight="1" x14ac:dyDescent="0.2">
      <c r="A34" s="120" t="s">
        <v>94</v>
      </c>
      <c r="B34" s="120"/>
      <c r="C34" s="24"/>
      <c r="D34" s="10" t="s">
        <v>112</v>
      </c>
      <c r="E34" s="14"/>
      <c r="F34" s="14"/>
      <c r="G34" s="14"/>
      <c r="H34" s="14"/>
      <c r="I34" s="14"/>
      <c r="J34" s="14"/>
    </row>
    <row r="35" spans="1:10" x14ac:dyDescent="0.2">
      <c r="A35" s="120" t="s">
        <v>95</v>
      </c>
      <c r="B35" s="120"/>
      <c r="C35" s="24"/>
      <c r="D35" s="14"/>
      <c r="E35" s="14"/>
      <c r="F35" s="14"/>
      <c r="G35" s="14"/>
      <c r="H35" s="14"/>
      <c r="I35" s="14"/>
      <c r="J35" s="14"/>
    </row>
    <row r="36" spans="1:10" x14ac:dyDescent="0.2">
      <c r="A36" s="120" t="s">
        <v>96</v>
      </c>
      <c r="B36" s="120"/>
      <c r="C36" s="24"/>
      <c r="D36" s="14"/>
      <c r="E36" s="14"/>
      <c r="F36" s="14"/>
      <c r="G36" s="14"/>
      <c r="H36" s="14"/>
      <c r="I36" s="14"/>
      <c r="J36" s="14"/>
    </row>
    <row r="37" spans="1:10" x14ac:dyDescent="0.2">
      <c r="A37" s="120" t="s">
        <v>97</v>
      </c>
      <c r="B37" s="120"/>
      <c r="C37" s="19"/>
      <c r="D37" s="14"/>
      <c r="E37" s="14"/>
      <c r="F37" s="14"/>
      <c r="G37" s="14"/>
      <c r="H37" s="14"/>
      <c r="I37" s="14"/>
      <c r="J37" s="14"/>
    </row>
    <row r="38" spans="1:10" s="14" customFormat="1" x14ac:dyDescent="0.2"/>
    <row r="39" spans="1:10" ht="25" customHeight="1" x14ac:dyDescent="0.2">
      <c r="A39" s="113" t="s">
        <v>257</v>
      </c>
      <c r="B39" s="114"/>
      <c r="C39" s="114"/>
      <c r="D39" s="114"/>
      <c r="E39" s="114"/>
      <c r="F39" s="114"/>
      <c r="G39" s="114"/>
      <c r="H39" s="114"/>
      <c r="I39" s="114"/>
      <c r="J39" s="114"/>
    </row>
    <row r="40" spans="1:10" ht="30" customHeight="1" x14ac:dyDescent="0.2">
      <c r="A40" s="115" t="s">
        <v>98</v>
      </c>
      <c r="B40" s="114"/>
      <c r="C40" s="114"/>
      <c r="D40" s="114"/>
      <c r="E40" s="114"/>
      <c r="F40" s="114"/>
      <c r="G40" s="114"/>
      <c r="H40" s="114"/>
      <c r="I40" s="114"/>
      <c r="J40" s="114"/>
    </row>
    <row r="41" spans="1:10" x14ac:dyDescent="0.2">
      <c r="A41" s="114"/>
      <c r="B41" s="114"/>
      <c r="C41" s="114"/>
      <c r="D41" s="114"/>
      <c r="E41" s="114"/>
      <c r="F41" s="114"/>
      <c r="G41" s="114"/>
      <c r="H41" s="114"/>
      <c r="I41" s="114"/>
      <c r="J41" s="114"/>
    </row>
    <row r="42" spans="1:10" s="14" customFormat="1" x14ac:dyDescent="0.2"/>
    <row r="43" spans="1:10" ht="25" customHeight="1" x14ac:dyDescent="0.2">
      <c r="A43" s="113" t="s">
        <v>258</v>
      </c>
      <c r="B43" s="114"/>
      <c r="C43" s="114"/>
      <c r="D43" s="114"/>
      <c r="E43" s="114"/>
      <c r="F43" s="114"/>
      <c r="G43" s="114"/>
      <c r="H43" s="114"/>
      <c r="I43" s="114"/>
      <c r="J43" s="114"/>
    </row>
    <row r="44" spans="1:10" ht="30" customHeight="1" x14ac:dyDescent="0.2">
      <c r="A44" s="117" t="s">
        <v>99</v>
      </c>
      <c r="B44" s="114"/>
      <c r="C44" s="114"/>
      <c r="D44" s="114"/>
      <c r="E44" s="114"/>
      <c r="F44" s="114"/>
      <c r="G44" s="114"/>
      <c r="H44" s="114"/>
      <c r="I44" s="114"/>
      <c r="J44" s="114"/>
    </row>
    <row r="45" spans="1:10" x14ac:dyDescent="0.2">
      <c r="A45" s="114"/>
      <c r="B45" s="114"/>
      <c r="C45" s="114"/>
      <c r="D45" s="114"/>
      <c r="E45" s="114"/>
      <c r="F45" s="114"/>
      <c r="G45" s="114"/>
      <c r="H45" s="114"/>
      <c r="I45" s="114"/>
      <c r="J45" s="114"/>
    </row>
    <row r="46" spans="1:10" x14ac:dyDescent="0.2">
      <c r="A46" s="114"/>
      <c r="B46" s="114"/>
      <c r="C46" s="114"/>
      <c r="D46" s="114"/>
      <c r="E46" s="114"/>
      <c r="F46" s="114"/>
      <c r="G46" s="114"/>
      <c r="H46" s="114"/>
      <c r="I46" s="114"/>
      <c r="J46" s="114"/>
    </row>
    <row r="47" spans="1:10" s="14" customFormat="1" x14ac:dyDescent="0.2"/>
    <row r="48" spans="1:10" ht="25" hidden="1" customHeight="1" x14ac:dyDescent="0.2">
      <c r="A48" s="113" t="s">
        <v>108</v>
      </c>
      <c r="B48" s="114"/>
      <c r="C48" s="114"/>
      <c r="D48" s="114"/>
      <c r="E48" s="114"/>
      <c r="F48" s="114"/>
      <c r="G48" s="114"/>
      <c r="H48" s="114"/>
      <c r="I48" s="114"/>
      <c r="J48" s="114"/>
    </row>
    <row r="49" spans="1:10" ht="35" hidden="1" customHeight="1" x14ac:dyDescent="0.2">
      <c r="A49" s="121" t="s">
        <v>87</v>
      </c>
      <c r="B49" s="114"/>
      <c r="C49" s="114"/>
      <c r="D49" s="114"/>
      <c r="E49" s="114"/>
      <c r="F49" s="114"/>
      <c r="G49" s="114"/>
      <c r="H49" s="114"/>
      <c r="I49" s="114"/>
      <c r="J49" s="114"/>
    </row>
    <row r="50" spans="1:10" hidden="1" x14ac:dyDescent="0.2">
      <c r="A50" s="114"/>
      <c r="B50" s="114"/>
      <c r="C50" s="114"/>
      <c r="D50" s="114"/>
      <c r="E50" s="114"/>
      <c r="F50" s="114"/>
      <c r="G50" s="114"/>
      <c r="H50" s="114"/>
      <c r="I50" s="114"/>
      <c r="J50" s="114"/>
    </row>
    <row r="51" spans="1:10" hidden="1" x14ac:dyDescent="0.2">
      <c r="A51" s="11" t="s">
        <v>40</v>
      </c>
      <c r="B51" s="11" t="s">
        <v>41</v>
      </c>
      <c r="C51" s="11" t="s">
        <v>42</v>
      </c>
      <c r="D51" s="11" t="s">
        <v>88</v>
      </c>
      <c r="E51" s="11" t="s">
        <v>89</v>
      </c>
      <c r="F51" s="11" t="s">
        <v>90</v>
      </c>
      <c r="G51" s="11" t="s">
        <v>91</v>
      </c>
      <c r="H51" s="11"/>
      <c r="I51" s="11"/>
      <c r="J51" s="11"/>
    </row>
    <row r="52" spans="1:10" hidden="1" x14ac:dyDescent="0.2">
      <c r="A52" s="5">
        <v>1</v>
      </c>
      <c r="B52" s="5">
        <v>10</v>
      </c>
      <c r="C52" s="5">
        <v>100</v>
      </c>
      <c r="D52" s="5">
        <f>SUMPRODUCT(--($B53:$B$57&gt;B52),--($C53:$C$57&gt;C52))</f>
        <v>5</v>
      </c>
      <c r="E52" s="5">
        <f>SUMPRODUCT(--($B53:$B$57&gt;B52),--($C53:$C$57&lt;C52))</f>
        <v>0</v>
      </c>
      <c r="F52" s="5">
        <f>COUNTIF($B53:$B$57,B52)</f>
        <v>0</v>
      </c>
      <c r="G52" s="5">
        <f>COUNTIF($C53:$C$57,C52)</f>
        <v>0</v>
      </c>
      <c r="H52" s="14"/>
      <c r="I52" s="14"/>
      <c r="J52" s="14"/>
    </row>
    <row r="53" spans="1:10" hidden="1" x14ac:dyDescent="0.2">
      <c r="A53" s="5">
        <v>2</v>
      </c>
      <c r="B53" s="5">
        <v>20</v>
      </c>
      <c r="C53" s="5">
        <v>200</v>
      </c>
      <c r="D53" s="5">
        <f>SUMPRODUCT(--($B54:$B$57&gt;B53),--($C54:$C$57&gt;C53))</f>
        <v>3</v>
      </c>
      <c r="E53" s="5">
        <f>SUMPRODUCT(--($B54:$B$57&gt;B53),--($C54:$C$57&lt;C53))</f>
        <v>0</v>
      </c>
      <c r="F53" s="5">
        <f>COUNTIF($B54:$B$57,B53)</f>
        <v>1</v>
      </c>
      <c r="G53" s="5">
        <f>COUNTIF($C54:$C$57,C53)</f>
        <v>0</v>
      </c>
      <c r="H53" s="14"/>
      <c r="I53" s="14"/>
      <c r="J53" s="14"/>
    </row>
    <row r="54" spans="1:10" hidden="1" x14ac:dyDescent="0.2">
      <c r="A54" s="5">
        <v>3</v>
      </c>
      <c r="B54" s="5">
        <v>20</v>
      </c>
      <c r="C54" s="5">
        <v>300</v>
      </c>
      <c r="D54" s="5">
        <f>SUMPRODUCT(--($B55:$B$57&gt;B54),--($C55:$C$57&gt;C54))</f>
        <v>2</v>
      </c>
      <c r="E54" s="5">
        <f>SUMPRODUCT(--($B55:$B$57&gt;B54),--($C55:$C$57&lt;C54))</f>
        <v>0</v>
      </c>
      <c r="F54" s="5">
        <f>COUNTIF($B55:$B$57,B54)</f>
        <v>0</v>
      </c>
      <c r="G54" s="5">
        <f>COUNTIF($C55:$C$57,C54)</f>
        <v>1</v>
      </c>
      <c r="H54" s="14"/>
      <c r="I54" s="14"/>
      <c r="J54" s="14"/>
    </row>
    <row r="55" spans="1:10" hidden="1" x14ac:dyDescent="0.2">
      <c r="A55" s="5">
        <v>4</v>
      </c>
      <c r="B55" s="5">
        <v>30</v>
      </c>
      <c r="C55" s="5">
        <v>300</v>
      </c>
      <c r="D55" s="5">
        <f>SUMPRODUCT(--($B56:$B$57&gt;B55),--($C56:$C$57&gt;C55))</f>
        <v>2</v>
      </c>
      <c r="E55" s="5">
        <f>SUMPRODUCT(--($B56:$B$57&gt;B55),--($C56:$C$57&lt;C55))</f>
        <v>0</v>
      </c>
      <c r="F55" s="5">
        <f>COUNTIF($B56:$B$57,B55)</f>
        <v>0</v>
      </c>
      <c r="G55" s="5">
        <f>COUNTIF($C56:$C$57,C55)</f>
        <v>0</v>
      </c>
      <c r="H55" s="14"/>
      <c r="I55" s="14"/>
      <c r="J55" s="14"/>
    </row>
    <row r="56" spans="1:10" hidden="1" x14ac:dyDescent="0.2">
      <c r="A56" s="5">
        <v>5</v>
      </c>
      <c r="B56" s="5">
        <v>40</v>
      </c>
      <c r="C56" s="5">
        <v>400</v>
      </c>
      <c r="D56" s="5">
        <f>SUMPRODUCT(--($B57:$B$57&gt;B56),--($C57:$C$57&gt;C56))</f>
        <v>1</v>
      </c>
      <c r="E56" s="5">
        <f>SUMPRODUCT(--($B57:$B$57&gt;B56),--($C57:$C$57&lt;C56))</f>
        <v>0</v>
      </c>
      <c r="F56" s="5">
        <f>COUNTIF($B57:$B$57,B56)</f>
        <v>0</v>
      </c>
      <c r="G56" s="5">
        <f>COUNTIF($C57:$C$57,C56)</f>
        <v>0</v>
      </c>
      <c r="H56" s="14"/>
      <c r="I56" s="14"/>
      <c r="J56" s="14"/>
    </row>
    <row r="57" spans="1:10" ht="17" hidden="1" thickBot="1" x14ac:dyDescent="0.25">
      <c r="A57" s="5">
        <v>6</v>
      </c>
      <c r="B57" s="5">
        <v>50</v>
      </c>
      <c r="C57" s="5">
        <v>500</v>
      </c>
      <c r="D57" s="5">
        <v>0</v>
      </c>
      <c r="E57" s="5">
        <v>0</v>
      </c>
      <c r="F57" s="5">
        <v>0</v>
      </c>
      <c r="G57" s="5">
        <v>0</v>
      </c>
      <c r="H57" s="14"/>
      <c r="I57" s="14"/>
      <c r="J57" s="14"/>
    </row>
    <row r="58" spans="1:10" hidden="1" x14ac:dyDescent="0.2">
      <c r="A58" s="6" t="s">
        <v>61</v>
      </c>
      <c r="B58" s="7"/>
      <c r="C58" s="7"/>
      <c r="D58" s="8">
        <f>SUM(D52:D57)</f>
        <v>13</v>
      </c>
      <c r="E58" s="8">
        <f>SUM(E52:E57)</f>
        <v>0</v>
      </c>
      <c r="F58" s="8">
        <f t="shared" ref="F58:G58" si="0">SUM(F52:F57)</f>
        <v>1</v>
      </c>
      <c r="G58" s="8">
        <f t="shared" si="0"/>
        <v>1</v>
      </c>
      <c r="H58" s="14"/>
      <c r="I58" s="14"/>
      <c r="J58" s="14"/>
    </row>
    <row r="59" spans="1:10" s="14" customFormat="1" ht="32" hidden="1" customHeight="1" x14ac:dyDescent="0.2">
      <c r="A59" s="25" t="s">
        <v>92</v>
      </c>
      <c r="B59" s="111" t="s">
        <v>109</v>
      </c>
      <c r="C59" s="112"/>
      <c r="D59" s="112"/>
      <c r="E59" s="112"/>
      <c r="F59" s="112"/>
      <c r="G59" s="112"/>
    </row>
    <row r="60" spans="1:10" s="14" customFormat="1" x14ac:dyDescent="0.2"/>
    <row r="61" spans="1:10" s="14" customFormat="1" x14ac:dyDescent="0.2"/>
    <row r="62" spans="1:10" s="14" customFormat="1" x14ac:dyDescent="0.2"/>
    <row r="63" spans="1:10" s="14" customFormat="1" x14ac:dyDescent="0.2"/>
    <row r="64" spans="1:10"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sheetData>
  <mergeCells count="35">
    <mergeCell ref="A9:H9"/>
    <mergeCell ref="A6:B6"/>
    <mergeCell ref="C5:R5"/>
    <mergeCell ref="C6:R6"/>
    <mergeCell ref="A7:B7"/>
    <mergeCell ref="C7:R7"/>
    <mergeCell ref="A49:J50"/>
    <mergeCell ref="B20:G20"/>
    <mergeCell ref="B21:G21"/>
    <mergeCell ref="A18:H18"/>
    <mergeCell ref="G24:H24"/>
    <mergeCell ref="E24:F24"/>
    <mergeCell ref="E25:F25"/>
    <mergeCell ref="E26:F26"/>
    <mergeCell ref="C24:D24"/>
    <mergeCell ref="C25:D25"/>
    <mergeCell ref="C26:D26"/>
    <mergeCell ref="G25:H25"/>
    <mergeCell ref="G26:H26"/>
    <mergeCell ref="G1:R1"/>
    <mergeCell ref="A2:R2"/>
    <mergeCell ref="A4:R4"/>
    <mergeCell ref="B59:G59"/>
    <mergeCell ref="A39:J39"/>
    <mergeCell ref="A40:J41"/>
    <mergeCell ref="A31:B31"/>
    <mergeCell ref="A43:J43"/>
    <mergeCell ref="A44:J46"/>
    <mergeCell ref="A32:B32"/>
    <mergeCell ref="A33:B33"/>
    <mergeCell ref="A34:B34"/>
    <mergeCell ref="A35:B35"/>
    <mergeCell ref="A36:B36"/>
    <mergeCell ref="A37:B37"/>
    <mergeCell ref="A48:J4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DFA93-9C45-DC4C-9F09-9B84D52866EE}">
  <dimension ref="A1:D4"/>
  <sheetViews>
    <sheetView workbookViewId="0">
      <selection activeCell="D1" sqref="D1:G1"/>
    </sheetView>
  </sheetViews>
  <sheetFormatPr baseColWidth="10" defaultRowHeight="16" x14ac:dyDescent="0.2"/>
  <sheetData>
    <row r="1" spans="1:4" ht="17" x14ac:dyDescent="0.25">
      <c r="A1" s="1" t="s">
        <v>48</v>
      </c>
      <c r="B1" s="1" t="s">
        <v>49</v>
      </c>
      <c r="D1" s="2" t="s">
        <v>53</v>
      </c>
    </row>
    <row r="2" spans="1:4" ht="17" x14ac:dyDescent="0.25">
      <c r="A2" t="s">
        <v>50</v>
      </c>
      <c r="B2">
        <v>80</v>
      </c>
      <c r="C2" s="2" t="b">
        <f>B2&gt;70</f>
        <v>1</v>
      </c>
      <c r="D2" s="3">
        <f>--(B2&gt;70)</f>
        <v>1</v>
      </c>
    </row>
    <row r="3" spans="1:4" x14ac:dyDescent="0.2">
      <c r="A3" t="s">
        <v>51</v>
      </c>
      <c r="B3">
        <v>60</v>
      </c>
      <c r="C3" t="b">
        <f>B3&gt;70</f>
        <v>0</v>
      </c>
      <c r="D3" s="3">
        <f>--(B3&gt;70)</f>
        <v>0</v>
      </c>
    </row>
    <row r="4" spans="1:4" x14ac:dyDescent="0.2">
      <c r="A4" t="s">
        <v>52</v>
      </c>
      <c r="B4">
        <v>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625ED-C83B-784C-B04B-42C74B72DF7A}">
  <dimension ref="A1:E12"/>
  <sheetViews>
    <sheetView workbookViewId="0">
      <selection activeCell="H18" sqref="H18"/>
    </sheetView>
  </sheetViews>
  <sheetFormatPr baseColWidth="10" defaultRowHeight="16" x14ac:dyDescent="0.2"/>
  <sheetData>
    <row r="1" spans="1:5" ht="17" x14ac:dyDescent="0.25">
      <c r="A1" s="1" t="s">
        <v>6</v>
      </c>
    </row>
    <row r="2" spans="1:5" ht="17" x14ac:dyDescent="0.25">
      <c r="A2" s="1" t="s">
        <v>7</v>
      </c>
    </row>
    <row r="4" spans="1:5" x14ac:dyDescent="0.2">
      <c r="A4" s="1" t="s">
        <v>8</v>
      </c>
    </row>
    <row r="5" spans="1:5" x14ac:dyDescent="0.2">
      <c r="A5" t="s">
        <v>9</v>
      </c>
      <c r="C5" t="s">
        <v>10</v>
      </c>
    </row>
    <row r="6" spans="1:5" x14ac:dyDescent="0.2">
      <c r="A6" t="s">
        <v>11</v>
      </c>
      <c r="C6" t="s">
        <v>12</v>
      </c>
    </row>
    <row r="8" spans="1:5" x14ac:dyDescent="0.2">
      <c r="A8" s="1" t="s">
        <v>13</v>
      </c>
    </row>
    <row r="10" spans="1:5" ht="17" x14ac:dyDescent="0.25">
      <c r="A10" t="s">
        <v>14</v>
      </c>
      <c r="B10" s="2" t="s">
        <v>15</v>
      </c>
      <c r="C10" s="2" t="s">
        <v>16</v>
      </c>
      <c r="E10" s="2" t="s">
        <v>17</v>
      </c>
    </row>
    <row r="12" spans="1:5" ht="17" x14ac:dyDescent="0.25">
      <c r="A12" s="2" t="s">
        <v>18</v>
      </c>
      <c r="B12" s="2" t="s">
        <v>19</v>
      </c>
      <c r="D12" s="2"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Pearson(GPA_Motivation)</vt:lpstr>
      <vt:lpstr>Pearson (Claim_Payment)</vt:lpstr>
      <vt:lpstr>Pearson(Leverage_Int)</vt:lpstr>
      <vt:lpstr>Spearman(Claim_Payment)</vt:lpstr>
      <vt:lpstr>Spearman(Leverage_Int)</vt:lpstr>
      <vt:lpstr>Kendall Tau(Claim_Payment)</vt:lpstr>
      <vt:lpstr>Spearman Rank-Ties (Example)</vt:lpstr>
      <vt:lpstr>Kendall Tau-Ties (Example)</vt:lpstr>
      <vt:lpstr>Sheet6</vt:lpstr>
      <vt:lpstr>Sheet5</vt:lpstr>
      <vt:lpstr>'Kendall Tau(Claim_Payment)'!Print_Area</vt:lpstr>
      <vt:lpstr>'Pearson (Claim_Payment)'!Print_Area</vt:lpstr>
      <vt:lpstr>'Pearson(GPA_Motivation)'!Print_Area</vt:lpstr>
      <vt:lpstr>'Spearman(Claim_Payment)'!Print_Area</vt:lpstr>
      <vt:lpstr>'Spearman(Leverage_Int)'!Print_Area</vt:lpstr>
      <vt:lpstr>'Pearson(Leverage_Int)'!Print_Titles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ZURAIDAH BINTI DERASIT</dc:creator>
  <cp:lastModifiedBy>ZURAIDAH BINTI DERASIT</cp:lastModifiedBy>
  <dcterms:created xsi:type="dcterms:W3CDTF">2026-10-05T04:42:19Z</dcterms:created>
  <dcterms:modified xsi:type="dcterms:W3CDTF">2026-10-16T15:16:05Z</dcterms:modified>
</cp:coreProperties>
</file>